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Dashboard" sheetId="3" state="visible" r:id="rId3"/>
  </sheets>
  <definedNames>
    <definedName name="_xlnm._FilterDatabase" localSheetId="0" hidden="1">'Data'!$A$1:$J$47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.00"/>
    <numFmt numFmtId="166" formatCode="$#,##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  <font>
      <color rgb="004A5568"/>
      <sz val="9"/>
    </font>
    <font>
      <b val="1"/>
      <color rgb="002B6CB0"/>
      <sz val="16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A365D"/>
      </patternFill>
    </fill>
    <fill>
      <patternFill patternType="solid">
        <fgColor rgb="00F7FAFC"/>
      </patternFill>
    </fill>
  </fills>
  <borders count="2">
    <border>
      <left/>
      <right/>
      <top/>
      <bottom/>
      <diagonal/>
    </border>
    <border>
      <left style="thin">
        <color rgb="00D2D6DC"/>
      </left>
      <right style="thin">
        <color rgb="00D2D6DC"/>
      </right>
      <top style="thin">
        <color rgb="00D2D6DC"/>
      </top>
      <bottom style="thin">
        <color rgb="00D2D6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2" borderId="0" applyAlignment="1" pivotButton="0" quotePrefix="0" xfId="0">
      <alignment horizontal="center" wrapText="1"/>
    </xf>
    <xf numFmtId="165" fontId="0" fillId="0" borderId="0" pivotButton="0" quotePrefix="0" xfId="0"/>
    <xf numFmtId="0" fontId="2" fillId="3" borderId="0" applyAlignment="1" pivotButton="0" quotePrefix="0" xfId="0">
      <alignment vertical="center"/>
    </xf>
    <xf numFmtId="0" fontId="3" fillId="4" borderId="1" applyAlignment="1" pivotButton="0" quotePrefix="0" xfId="0">
      <alignment horizontal="center" vertical="bottom"/>
    </xf>
    <xf numFmtId="0" fontId="0" fillId="4" borderId="1" pivotButton="0" quotePrefix="0" xfId="0"/>
    <xf numFmtId="3" fontId="4" fillId="4" borderId="1" applyAlignment="1" pivotButton="0" quotePrefix="0" xfId="0">
      <alignment horizontal="center" vertical="top"/>
    </xf>
    <xf numFmtId="166" fontId="4" fillId="4" borderId="1" applyAlignment="1" pivotButton="0" quotePrefix="0" xfId="0">
      <alignment horizontal="center" vertical="top"/>
    </xf>
    <xf numFmtId="164" fontId="4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Inventory Value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'Analysis'!G1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'Analysis'!$A$2:$A$11</f>
            </numRef>
          </cat>
          <val>
            <numRef>
              <f>'Analysis'!$G$2:$G$11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Stock Movement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'Analysis'!$A$2:$A$11</f>
            </numRef>
          </cat>
          <val>
            <numRef>
              <f>'Analysis'!$C$2:$C$11</f>
            </numRef>
          </val>
        </ser>
        <ser>
          <idx val="1"/>
          <order val="1"/>
          <tx>
            <strRef>
              <f>'Analysis'!D1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'Analysis'!$A$2:$A$11</f>
            </numRef>
          </cat>
          <val>
            <numRef>
              <f>'Analysis'!$D$2:$D$11</f>
            </numRef>
          </val>
        </ser>
        <ser>
          <idx val="2"/>
          <order val="2"/>
          <tx>
            <strRef>
              <f>'Analysis'!E1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'Analysis'!$A$2:$A$11</f>
            </numRef>
          </cat>
          <val>
            <numRef>
              <f>'Analysis'!$E$2:$E$11</f>
            </numRef>
          </val>
        </ser>
        <ser>
          <idx val="3"/>
          <order val="3"/>
          <tx>
            <strRef>
              <f>'Analysis'!F1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'Analysis'!$A$2:$A$11</f>
            </numRef>
          </cat>
          <val>
            <numRef>
              <f>'Analysis'!$F$2:$F$11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 Count by Category</a:t>
            </a:r>
          </a:p>
        </rich>
      </tx>
    </title>
    <plotArea>
      <pieChart>
        <varyColors val="1"/>
        <ser>
          <idx val="0"/>
          <order val="0"/>
          <tx>
            <strRef>
              <f>'Analysis'!B1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'Analysis'!$A$2:$A$11</f>
            </numRef>
          </cat>
          <val>
            <numRef>
              <f>'Analysis'!$B$2:$B$11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Units Sold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'Analysis'!$A$2:$A$11</f>
            </numRef>
          </cat>
          <val>
            <numRef>
              <f>'Analysis'!$E$2:$E$11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6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21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21</row>
      <rowOff>0</rowOff>
    </from>
    <ext cx="648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5" customWidth="1" min="3" max="3"/>
    <col width="12" customWidth="1" min="4" max="4"/>
    <col width="15" customWidth="1" min="5" max="5"/>
    <col width="12" customWidth="1" min="6" max="6"/>
    <col width="15" customWidth="1" min="7" max="7"/>
    <col width="18" customWidth="1" min="8" max="8"/>
    <col width="20" customWidth="1" min="9" max="9"/>
    <col width="15" customWidth="1" min="10" max="10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Opening Stock</t>
        </is>
      </c>
      <c r="E1" s="1" t="inlineStr">
        <is>
          <t>Purchase/Stock in</t>
        </is>
      </c>
      <c r="F1" s="1" t="inlineStr">
        <is>
          <t>Units Sold</t>
        </is>
      </c>
      <c r="G1" s="1" t="inlineStr">
        <is>
          <t>Hand-In-Stock</t>
        </is>
      </c>
      <c r="H1" s="1" t="inlineStr">
        <is>
          <t>Cost Price Per Unit (USD)</t>
        </is>
      </c>
      <c r="I1" s="1" t="inlineStr">
        <is>
          <t>Cost Price Total (USD)</t>
        </is>
      </c>
      <c r="J1" s="1" t="inlineStr">
        <is>
          <t>Sell-Through Rate</t>
        </is>
      </c>
    </row>
    <row r="2">
      <c r="A2" t="inlineStr">
        <is>
          <t>P101</t>
        </is>
      </c>
      <c r="B2" t="inlineStr">
        <is>
          <t>Laptop</t>
        </is>
      </c>
      <c r="C2" t="inlineStr">
        <is>
          <t>Computing</t>
        </is>
      </c>
      <c r="D2" t="n">
        <v>50</v>
      </c>
      <c r="E2" t="n">
        <v>20</v>
      </c>
      <c r="F2" t="n">
        <v>10</v>
      </c>
      <c r="G2" t="n">
        <v>60</v>
      </c>
      <c r="H2" t="n">
        <v>1200</v>
      </c>
      <c r="I2" t="n">
        <v>72000</v>
      </c>
      <c r="J2" s="2">
        <f>F2/(D2+E2)</f>
        <v/>
      </c>
    </row>
    <row r="3">
      <c r="A3" t="inlineStr">
        <is>
          <t>P102</t>
        </is>
      </c>
      <c r="B3" t="inlineStr">
        <is>
          <t>Monitor</t>
        </is>
      </c>
      <c r="C3" t="inlineStr">
        <is>
          <t>Monitors</t>
        </is>
      </c>
      <c r="D3" t="n">
        <v>40</v>
      </c>
      <c r="E3" t="n">
        <v>15</v>
      </c>
      <c r="F3" t="n">
        <v>5</v>
      </c>
      <c r="G3" t="n">
        <v>50</v>
      </c>
      <c r="H3" t="n">
        <v>500</v>
      </c>
      <c r="I3" t="n">
        <v>25000</v>
      </c>
      <c r="J3" s="2">
        <f>F3/(D3+E3)</f>
        <v/>
      </c>
    </row>
    <row r="4">
      <c r="A4" t="inlineStr">
        <is>
          <t>P103</t>
        </is>
      </c>
      <c r="B4" t="inlineStr">
        <is>
          <t>Keyboard</t>
        </is>
      </c>
      <c r="C4" t="inlineStr">
        <is>
          <t>Peripherals</t>
        </is>
      </c>
      <c r="D4" t="n">
        <v>60</v>
      </c>
      <c r="E4" t="n">
        <v>25</v>
      </c>
      <c r="F4" t="n">
        <v>15</v>
      </c>
      <c r="G4" t="n">
        <v>70</v>
      </c>
      <c r="H4" t="n">
        <v>50</v>
      </c>
      <c r="I4" t="n">
        <v>3500</v>
      </c>
      <c r="J4" s="2">
        <f>F4/(D4+E4)</f>
        <v/>
      </c>
    </row>
    <row r="5">
      <c r="A5" t="inlineStr">
        <is>
          <t>P104</t>
        </is>
      </c>
      <c r="B5" t="inlineStr">
        <is>
          <t>Headphones</t>
        </is>
      </c>
      <c r="C5" t="inlineStr">
        <is>
          <t>Audio</t>
        </is>
      </c>
      <c r="D5" t="n">
        <v>30</v>
      </c>
      <c r="E5" t="n">
        <v>10</v>
      </c>
      <c r="F5" t="n">
        <v>3</v>
      </c>
      <c r="G5" t="n">
        <v>37</v>
      </c>
      <c r="H5" t="n">
        <v>100</v>
      </c>
      <c r="I5" t="n">
        <v>3700</v>
      </c>
      <c r="J5" s="2">
        <f>F5/(D5+E5)</f>
        <v/>
      </c>
    </row>
    <row r="6">
      <c r="A6" t="inlineStr">
        <is>
          <t>P105</t>
        </is>
      </c>
      <c r="B6" t="inlineStr">
        <is>
          <t>Smartphone</t>
        </is>
      </c>
      <c r="C6" t="inlineStr">
        <is>
          <t>Computing</t>
        </is>
      </c>
      <c r="D6" t="n">
        <v>70</v>
      </c>
      <c r="E6" t="n">
        <v>30</v>
      </c>
      <c r="F6" t="n">
        <v>20</v>
      </c>
      <c r="G6" t="n">
        <v>80</v>
      </c>
      <c r="H6" t="n">
        <v>900</v>
      </c>
      <c r="I6" t="n">
        <v>72000</v>
      </c>
      <c r="J6" s="2">
        <f>F6/(D6+E6)</f>
        <v/>
      </c>
    </row>
    <row r="7">
      <c r="A7" t="inlineStr">
        <is>
          <t>P106</t>
        </is>
      </c>
      <c r="B7" t="inlineStr">
        <is>
          <t>Tablet</t>
        </is>
      </c>
      <c r="C7" t="inlineStr">
        <is>
          <t>Computing</t>
        </is>
      </c>
      <c r="D7" t="n">
        <v>45</v>
      </c>
      <c r="E7" t="n">
        <v>18</v>
      </c>
      <c r="F7" t="n">
        <v>8</v>
      </c>
      <c r="G7" t="n">
        <v>55</v>
      </c>
      <c r="H7" t="n">
        <v>700</v>
      </c>
      <c r="I7" t="n">
        <v>38500</v>
      </c>
      <c r="J7" s="2">
        <f>F7/(D7+E7)</f>
        <v/>
      </c>
    </row>
    <row r="8">
      <c r="A8" t="inlineStr">
        <is>
          <t>P107</t>
        </is>
      </c>
      <c r="B8" t="inlineStr">
        <is>
          <t>Router</t>
        </is>
      </c>
      <c r="C8" t="inlineStr">
        <is>
          <t>Networking</t>
        </is>
      </c>
      <c r="D8" t="n">
        <v>55</v>
      </c>
      <c r="E8" t="n">
        <v>22</v>
      </c>
      <c r="F8" t="n">
        <v>12</v>
      </c>
      <c r="G8" t="n">
        <v>65</v>
      </c>
      <c r="H8" t="n">
        <v>150</v>
      </c>
      <c r="I8" t="n">
        <v>9750</v>
      </c>
      <c r="J8" s="2">
        <f>F8/(D8+E8)</f>
        <v/>
      </c>
    </row>
    <row r="9">
      <c r="A9" t="inlineStr">
        <is>
          <t>P108</t>
        </is>
      </c>
      <c r="B9" t="inlineStr">
        <is>
          <t>External Hard Drive</t>
        </is>
      </c>
      <c r="C9" t="inlineStr">
        <is>
          <t>Storage</t>
        </is>
      </c>
      <c r="D9" t="n">
        <v>25</v>
      </c>
      <c r="E9" t="n">
        <v>12</v>
      </c>
      <c r="F9" t="n">
        <v>5</v>
      </c>
      <c r="G9" t="n">
        <v>32</v>
      </c>
      <c r="H9" t="n">
        <v>200</v>
      </c>
      <c r="I9" t="n">
        <v>6400</v>
      </c>
      <c r="J9" s="2">
        <f>F9/(D9+E9)</f>
        <v/>
      </c>
    </row>
    <row r="10">
      <c r="A10" t="inlineStr">
        <is>
          <t>P109</t>
        </is>
      </c>
      <c r="B10" t="inlineStr">
        <is>
          <t>Wireless Earbuds</t>
        </is>
      </c>
      <c r="C10" t="inlineStr">
        <is>
          <t>Audio</t>
        </is>
      </c>
      <c r="D10" t="n">
        <v>35</v>
      </c>
      <c r="E10" t="n">
        <v>15</v>
      </c>
      <c r="F10" t="n">
        <v>7</v>
      </c>
      <c r="G10" t="n">
        <v>43</v>
      </c>
      <c r="H10" t="n">
        <v>80</v>
      </c>
      <c r="I10" t="n">
        <v>3440</v>
      </c>
      <c r="J10" s="2">
        <f>F10/(D10+E10)</f>
        <v/>
      </c>
    </row>
    <row r="11">
      <c r="A11" t="inlineStr">
        <is>
          <t>P110</t>
        </is>
      </c>
      <c r="B11" t="inlineStr">
        <is>
          <t>Webcam</t>
        </is>
      </c>
      <c r="C11" t="inlineStr">
        <is>
          <t>Peripherals</t>
        </is>
      </c>
      <c r="D11" t="n">
        <v>40</v>
      </c>
      <c r="E11" t="n">
        <v>20</v>
      </c>
      <c r="F11" t="n">
        <v>10</v>
      </c>
      <c r="G11" t="n">
        <v>50</v>
      </c>
      <c r="H11" t="n">
        <v>60</v>
      </c>
      <c r="I11" t="n">
        <v>3000</v>
      </c>
      <c r="J11" s="2">
        <f>F11/(D11+E11)</f>
        <v/>
      </c>
    </row>
    <row r="12">
      <c r="A12" t="inlineStr">
        <is>
          <t>P111</t>
        </is>
      </c>
      <c r="B12" t="inlineStr">
        <is>
          <t>Desk Chair</t>
        </is>
      </c>
      <c r="C12" t="inlineStr">
        <is>
          <t>Furniture</t>
        </is>
      </c>
      <c r="D12" t="n">
        <v>20</v>
      </c>
      <c r="E12" t="n">
        <v>8</v>
      </c>
      <c r="F12" t="n">
        <v>3</v>
      </c>
      <c r="G12" t="n">
        <v>25</v>
      </c>
      <c r="H12" t="n">
        <v>150</v>
      </c>
      <c r="I12" t="n">
        <v>3750</v>
      </c>
      <c r="J12" s="2">
        <f>F12/(D12+E12)</f>
        <v/>
      </c>
    </row>
    <row r="13">
      <c r="A13" t="inlineStr">
        <is>
          <t>P112</t>
        </is>
      </c>
      <c r="B13" t="inlineStr">
        <is>
          <t>Desk Lamp</t>
        </is>
      </c>
      <c r="C13" t="inlineStr">
        <is>
          <t>Furniture</t>
        </is>
      </c>
      <c r="D13" t="n">
        <v>30</v>
      </c>
      <c r="E13" t="n">
        <v>15</v>
      </c>
      <c r="F13" t="n">
        <v>7</v>
      </c>
      <c r="G13" t="n">
        <v>38</v>
      </c>
      <c r="H13" t="n">
        <v>30</v>
      </c>
      <c r="I13" t="n">
        <v>1140</v>
      </c>
      <c r="J13" s="2">
        <f>F13/(D13+E13)</f>
        <v/>
      </c>
    </row>
    <row r="14">
      <c r="A14" t="inlineStr">
        <is>
          <t>P113</t>
        </is>
      </c>
      <c r="B14" t="inlineStr">
        <is>
          <t>USB Flash Drive</t>
        </is>
      </c>
      <c r="C14" t="inlineStr">
        <is>
          <t>Storage</t>
        </is>
      </c>
      <c r="D14" t="n">
        <v>50</v>
      </c>
      <c r="E14" t="n">
        <v>25</v>
      </c>
      <c r="F14" t="n">
        <v>12</v>
      </c>
      <c r="G14" t="n">
        <v>63</v>
      </c>
      <c r="H14" t="n">
        <v>20</v>
      </c>
      <c r="I14" t="n">
        <v>1260</v>
      </c>
      <c r="J14" s="2">
        <f>F14/(D14+E14)</f>
        <v/>
      </c>
    </row>
    <row r="15">
      <c r="A15" t="inlineStr">
        <is>
          <t>P114</t>
        </is>
      </c>
      <c r="B15" t="inlineStr">
        <is>
          <t>Ethernet Cable</t>
        </is>
      </c>
      <c r="C15" t="inlineStr">
        <is>
          <t>Networking</t>
        </is>
      </c>
      <c r="D15" t="n">
        <v>60</v>
      </c>
      <c r="E15" t="n">
        <v>30</v>
      </c>
      <c r="F15" t="n">
        <v>15</v>
      </c>
      <c r="G15" t="n">
        <v>75</v>
      </c>
      <c r="H15" t="n">
        <v>10</v>
      </c>
      <c r="I15" t="n">
        <v>750</v>
      </c>
      <c r="J15" s="2">
        <f>F15/(D15+E15)</f>
        <v/>
      </c>
    </row>
    <row r="16">
      <c r="A16" t="inlineStr">
        <is>
          <t>P115</t>
        </is>
      </c>
      <c r="B16" t="inlineStr">
        <is>
          <t>Power Strip</t>
        </is>
      </c>
      <c r="C16" t="inlineStr">
        <is>
          <t>Accessories</t>
        </is>
      </c>
      <c r="D16" t="n">
        <v>40</v>
      </c>
      <c r="E16" t="n">
        <v>20</v>
      </c>
      <c r="F16" t="n">
        <v>8</v>
      </c>
      <c r="G16" t="n">
        <v>52</v>
      </c>
      <c r="H16" t="n">
        <v>25</v>
      </c>
      <c r="I16" t="n">
        <v>1300</v>
      </c>
      <c r="J16" s="2">
        <f>F16/(D16+E16)</f>
        <v/>
      </c>
    </row>
    <row r="17">
      <c r="A17" t="inlineStr">
        <is>
          <t>P116</t>
        </is>
      </c>
      <c r="B17" t="inlineStr">
        <is>
          <t>Wireless Mouse</t>
        </is>
      </c>
      <c r="C17" t="inlineStr">
        <is>
          <t>Peripherals</t>
        </is>
      </c>
      <c r="D17" t="n">
        <v>35</v>
      </c>
      <c r="E17" t="n">
        <v>15</v>
      </c>
      <c r="F17" t="n">
        <v>5</v>
      </c>
      <c r="G17" t="n">
        <v>45</v>
      </c>
      <c r="H17" t="n">
        <v>40</v>
      </c>
      <c r="I17" t="n">
        <v>1800</v>
      </c>
      <c r="J17" s="2">
        <f>F17/(D17+E17)</f>
        <v/>
      </c>
    </row>
    <row r="18">
      <c r="A18" t="inlineStr">
        <is>
          <t>P117</t>
        </is>
      </c>
      <c r="B18" t="inlineStr">
        <is>
          <t>Gaming Keyboard</t>
        </is>
      </c>
      <c r="C18" t="inlineStr">
        <is>
          <t>Gaming</t>
        </is>
      </c>
      <c r="D18" t="n">
        <v>25</v>
      </c>
      <c r="E18" t="n">
        <v>10</v>
      </c>
      <c r="F18" t="n">
        <v>4</v>
      </c>
      <c r="G18" t="n">
        <v>31</v>
      </c>
      <c r="H18" t="n">
        <v>100</v>
      </c>
      <c r="I18" t="n">
        <v>3100</v>
      </c>
      <c r="J18" s="2">
        <f>F18/(D18+E18)</f>
        <v/>
      </c>
    </row>
    <row r="19">
      <c r="A19" t="inlineStr">
        <is>
          <t>P118</t>
        </is>
      </c>
      <c r="B19" t="inlineStr">
        <is>
          <t>Gaming Mouse</t>
        </is>
      </c>
      <c r="C19" t="inlineStr">
        <is>
          <t>Gaming</t>
        </is>
      </c>
      <c r="D19" t="n">
        <v>30</v>
      </c>
      <c r="E19" t="n">
        <v>12</v>
      </c>
      <c r="F19" t="n">
        <v>6</v>
      </c>
      <c r="G19" t="n">
        <v>36</v>
      </c>
      <c r="H19" t="n">
        <v>80</v>
      </c>
      <c r="I19" t="n">
        <v>2880</v>
      </c>
      <c r="J19" s="2">
        <f>F19/(D19+E19)</f>
        <v/>
      </c>
    </row>
    <row r="20">
      <c r="A20" t="inlineStr">
        <is>
          <t>P119</t>
        </is>
      </c>
      <c r="B20" t="inlineStr">
        <is>
          <t>Gaming Headset</t>
        </is>
      </c>
      <c r="C20" t="inlineStr">
        <is>
          <t>Gaming</t>
        </is>
      </c>
      <c r="D20" t="n">
        <v>20</v>
      </c>
      <c r="E20" t="n">
        <v>8</v>
      </c>
      <c r="F20" t="n">
        <v>3</v>
      </c>
      <c r="G20" t="n">
        <v>25</v>
      </c>
      <c r="H20" t="n">
        <v>120</v>
      </c>
      <c r="I20" t="n">
        <v>3000</v>
      </c>
      <c r="J20" s="2">
        <f>F20/(D20+E20)</f>
        <v/>
      </c>
    </row>
    <row r="21">
      <c r="A21" t="inlineStr">
        <is>
          <t>P120</t>
        </is>
      </c>
      <c r="B21" t="inlineStr">
        <is>
          <t>Gaming Chair</t>
        </is>
      </c>
      <c r="C21" t="inlineStr">
        <is>
          <t>Gaming</t>
        </is>
      </c>
      <c r="D21" t="n">
        <v>15</v>
      </c>
      <c r="E21" t="n">
        <v>6</v>
      </c>
      <c r="F21" t="n">
        <v>2</v>
      </c>
      <c r="G21" t="n">
        <v>19</v>
      </c>
      <c r="H21" t="n">
        <v>200</v>
      </c>
      <c r="I21" t="n">
        <v>3800</v>
      </c>
      <c r="J21" s="2">
        <f>F21/(D21+E21)</f>
        <v/>
      </c>
    </row>
    <row r="22">
      <c r="A22" t="inlineStr">
        <is>
          <t>P121</t>
        </is>
      </c>
      <c r="B22" t="inlineStr">
        <is>
          <t>Gaming Monitor</t>
        </is>
      </c>
      <c r="C22" t="inlineStr">
        <is>
          <t>Gaming</t>
        </is>
      </c>
      <c r="D22" t="n">
        <v>25</v>
      </c>
      <c r="E22" t="n">
        <v>10</v>
      </c>
      <c r="F22" t="n">
        <v>4</v>
      </c>
      <c r="G22" t="n">
        <v>29</v>
      </c>
      <c r="H22" t="n">
        <v>400</v>
      </c>
      <c r="I22" t="n">
        <v>11600</v>
      </c>
      <c r="J22" s="2">
        <f>F22/(D22+E22)</f>
        <v/>
      </c>
    </row>
    <row r="23">
      <c r="A23" t="inlineStr">
        <is>
          <t>P122</t>
        </is>
      </c>
      <c r="B23" t="inlineStr">
        <is>
          <t>Graphics Card</t>
        </is>
      </c>
      <c r="C23" t="inlineStr">
        <is>
          <t>Components</t>
        </is>
      </c>
      <c r="D23" t="n">
        <v>40</v>
      </c>
      <c r="E23" t="n">
        <v>18</v>
      </c>
      <c r="F23" t="n">
        <v>9</v>
      </c>
      <c r="G23" t="n">
        <v>49</v>
      </c>
      <c r="H23" t="n">
        <v>600</v>
      </c>
      <c r="I23" t="n">
        <v>29400</v>
      </c>
      <c r="J23" s="2">
        <f>F23/(D23+E23)</f>
        <v/>
      </c>
    </row>
    <row r="24">
      <c r="A24" t="inlineStr">
        <is>
          <t>P123</t>
        </is>
      </c>
      <c r="B24" t="inlineStr">
        <is>
          <t>CPU</t>
        </is>
      </c>
      <c r="C24" t="inlineStr">
        <is>
          <t>Components</t>
        </is>
      </c>
      <c r="D24" t="n">
        <v>30</v>
      </c>
      <c r="E24" t="n">
        <v>15</v>
      </c>
      <c r="F24" t="n">
        <v>7</v>
      </c>
      <c r="G24" t="n">
        <v>38</v>
      </c>
      <c r="H24" t="n">
        <v>350</v>
      </c>
      <c r="I24" t="n">
        <v>13300</v>
      </c>
      <c r="J24" s="2">
        <f>F24/(D24+E24)</f>
        <v/>
      </c>
    </row>
    <row r="25">
      <c r="A25" t="inlineStr">
        <is>
          <t>P124</t>
        </is>
      </c>
      <c r="B25" t="inlineStr">
        <is>
          <t>Motherboard</t>
        </is>
      </c>
      <c r="C25" t="inlineStr">
        <is>
          <t>Components</t>
        </is>
      </c>
      <c r="D25" t="n">
        <v>25</v>
      </c>
      <c r="E25" t="n">
        <v>12</v>
      </c>
      <c r="F25" t="n">
        <v>5</v>
      </c>
      <c r="G25" t="n">
        <v>32</v>
      </c>
      <c r="H25" t="n">
        <v>200</v>
      </c>
      <c r="I25" t="n">
        <v>6400</v>
      </c>
      <c r="J25" s="2">
        <f>F25/(D25+E25)</f>
        <v/>
      </c>
    </row>
    <row r="26">
      <c r="A26" t="inlineStr">
        <is>
          <t>P125</t>
        </is>
      </c>
      <c r="B26" t="inlineStr">
        <is>
          <t>RAM</t>
        </is>
      </c>
      <c r="C26" t="inlineStr">
        <is>
          <t>Components</t>
        </is>
      </c>
      <c r="D26" t="n">
        <v>50</v>
      </c>
      <c r="E26" t="n">
        <v>22</v>
      </c>
      <c r="F26" t="n">
        <v>11</v>
      </c>
      <c r="G26" t="n">
        <v>61</v>
      </c>
      <c r="H26" t="n">
        <v>80</v>
      </c>
      <c r="I26" t="n">
        <v>4880</v>
      </c>
      <c r="J26" s="2">
        <f>F26/(D26+E26)</f>
        <v/>
      </c>
    </row>
    <row r="27">
      <c r="A27" t="inlineStr">
        <is>
          <t>P126</t>
        </is>
      </c>
      <c r="B27" t="inlineStr">
        <is>
          <t>SSD</t>
        </is>
      </c>
      <c r="C27" t="inlineStr">
        <is>
          <t>Storage</t>
        </is>
      </c>
      <c r="D27" t="n">
        <v>45</v>
      </c>
      <c r="E27" t="n">
        <v>20</v>
      </c>
      <c r="F27" t="n">
        <v>8</v>
      </c>
      <c r="G27" t="n">
        <v>57</v>
      </c>
      <c r="H27" t="n">
        <v>120</v>
      </c>
      <c r="I27" t="n">
        <v>6840</v>
      </c>
      <c r="J27" s="2">
        <f>F27/(D27+E27)</f>
        <v/>
      </c>
    </row>
    <row r="28">
      <c r="A28" t="inlineStr">
        <is>
          <t>P127</t>
        </is>
      </c>
      <c r="B28" t="inlineStr">
        <is>
          <t>HDD</t>
        </is>
      </c>
      <c r="C28" t="inlineStr">
        <is>
          <t>Storage</t>
        </is>
      </c>
      <c r="D28" t="n">
        <v>60</v>
      </c>
      <c r="E28" t="n">
        <v>25</v>
      </c>
      <c r="F28" t="n">
        <v>12</v>
      </c>
      <c r="G28" t="n">
        <v>73</v>
      </c>
      <c r="H28" t="n">
        <v>60</v>
      </c>
      <c r="I28" t="n">
        <v>4380</v>
      </c>
      <c r="J28" s="2">
        <f>F28/(D28+E28)</f>
        <v/>
      </c>
    </row>
    <row r="29">
      <c r="A29" t="inlineStr">
        <is>
          <t>P128</t>
        </is>
      </c>
      <c r="B29" t="inlineStr">
        <is>
          <t>Power Supply</t>
        </is>
      </c>
      <c r="C29" t="inlineStr">
        <is>
          <t>Components</t>
        </is>
      </c>
      <c r="D29" t="n">
        <v>35</v>
      </c>
      <c r="E29" t="n">
        <v>15</v>
      </c>
      <c r="F29" t="n">
        <v>6</v>
      </c>
      <c r="G29" t="n">
        <v>44</v>
      </c>
      <c r="H29" t="n">
        <v>100</v>
      </c>
      <c r="I29" t="n">
        <v>4400</v>
      </c>
      <c r="J29" s="2">
        <f>F29/(D29+E29)</f>
        <v/>
      </c>
    </row>
    <row r="30">
      <c r="A30" t="inlineStr">
        <is>
          <t>P129</t>
        </is>
      </c>
      <c r="B30" t="inlineStr">
        <is>
          <t>PC Case</t>
        </is>
      </c>
      <c r="C30" t="inlineStr">
        <is>
          <t>Components</t>
        </is>
      </c>
      <c r="D30" t="n">
        <v>40</v>
      </c>
      <c r="E30" t="n">
        <v>18</v>
      </c>
      <c r="F30" t="n">
        <v>9</v>
      </c>
      <c r="G30" t="n">
        <v>49</v>
      </c>
      <c r="H30" t="n">
        <v>80</v>
      </c>
      <c r="I30" t="n">
        <v>3920</v>
      </c>
      <c r="J30" s="2">
        <f>F30/(D30+E30)</f>
        <v/>
      </c>
    </row>
    <row r="31">
      <c r="A31" t="inlineStr">
        <is>
          <t>P130</t>
        </is>
      </c>
      <c r="B31" t="inlineStr">
        <is>
          <t>CPU Cooler</t>
        </is>
      </c>
      <c r="C31" t="inlineStr">
        <is>
          <t>Components</t>
        </is>
      </c>
      <c r="D31" t="n">
        <v>30</v>
      </c>
      <c r="E31" t="n">
        <v>12</v>
      </c>
      <c r="F31" t="n">
        <v>4</v>
      </c>
      <c r="G31" t="n">
        <v>34</v>
      </c>
      <c r="H31" t="n">
        <v>50</v>
      </c>
      <c r="I31" t="n">
        <v>1700</v>
      </c>
      <c r="J31" s="2">
        <f>F31/(D31+E31)</f>
        <v/>
      </c>
    </row>
    <row r="32">
      <c r="A32" t="inlineStr">
        <is>
          <t>P131</t>
        </is>
      </c>
      <c r="B32" t="inlineStr">
        <is>
          <t>Monitor Stand</t>
        </is>
      </c>
      <c r="C32" t="inlineStr">
        <is>
          <t>Accessories</t>
        </is>
      </c>
      <c r="D32" t="n">
        <v>25</v>
      </c>
      <c r="E32" t="n">
        <v>10</v>
      </c>
      <c r="F32" t="n">
        <v>3</v>
      </c>
      <c r="G32" t="n">
        <v>28</v>
      </c>
      <c r="H32" t="n">
        <v>30</v>
      </c>
      <c r="I32" t="n">
        <v>840</v>
      </c>
      <c r="J32" s="2">
        <f>F32/(D32+E32)</f>
        <v/>
      </c>
    </row>
    <row r="33">
      <c r="A33" t="inlineStr">
        <is>
          <t>P132</t>
        </is>
      </c>
      <c r="B33" t="inlineStr">
        <is>
          <t>Mouse Pad</t>
        </is>
      </c>
      <c r="C33" t="inlineStr">
        <is>
          <t>Accessories</t>
        </is>
      </c>
      <c r="D33" t="n">
        <v>50</v>
      </c>
      <c r="E33" t="n">
        <v>20</v>
      </c>
      <c r="F33" t="n">
        <v>8</v>
      </c>
      <c r="G33" t="n">
        <v>58</v>
      </c>
      <c r="H33" t="n">
        <v>10</v>
      </c>
      <c r="I33" t="n">
        <v>580</v>
      </c>
      <c r="J33" s="2">
        <f>F33/(D33+E33)</f>
        <v/>
      </c>
    </row>
    <row r="34">
      <c r="A34" t="inlineStr">
        <is>
          <t>P133</t>
        </is>
      </c>
      <c r="B34" t="inlineStr">
        <is>
          <t>Thermal Paste</t>
        </is>
      </c>
      <c r="C34" t="inlineStr">
        <is>
          <t>Accessories</t>
        </is>
      </c>
      <c r="D34" t="n">
        <v>40</v>
      </c>
      <c r="E34" t="n">
        <v>15</v>
      </c>
      <c r="F34" t="n">
        <v>5</v>
      </c>
      <c r="G34" t="n">
        <v>50</v>
      </c>
      <c r="H34" t="n">
        <v>5</v>
      </c>
      <c r="I34" t="n">
        <v>250</v>
      </c>
      <c r="J34" s="2">
        <f>F34/(D34+E34)</f>
        <v/>
      </c>
    </row>
    <row r="35">
      <c r="A35" t="inlineStr">
        <is>
          <t>P134</t>
        </is>
      </c>
      <c r="B35" t="inlineStr">
        <is>
          <t>Cable Management Kit</t>
        </is>
      </c>
      <c r="C35" t="inlineStr">
        <is>
          <t>Accessories</t>
        </is>
      </c>
      <c r="D35" t="n">
        <v>30</v>
      </c>
      <c r="E35" t="n">
        <v>12</v>
      </c>
      <c r="F35" t="n">
        <v>4</v>
      </c>
      <c r="G35" t="n">
        <v>34</v>
      </c>
      <c r="H35" t="n">
        <v>15</v>
      </c>
      <c r="I35" t="n">
        <v>510</v>
      </c>
      <c r="J35" s="2">
        <f>F35/(D35+E35)</f>
        <v/>
      </c>
    </row>
    <row r="36">
      <c r="A36" t="inlineStr">
        <is>
          <t>P135</t>
        </is>
      </c>
      <c r="B36" t="inlineStr">
        <is>
          <t>WiFi Adapter</t>
        </is>
      </c>
      <c r="C36" t="inlineStr">
        <is>
          <t>Networking</t>
        </is>
      </c>
      <c r="D36" t="n">
        <v>20</v>
      </c>
      <c r="E36" t="n">
        <v>8</v>
      </c>
      <c r="F36" t="n">
        <v>3</v>
      </c>
      <c r="G36" t="n">
        <v>23</v>
      </c>
      <c r="H36" t="n">
        <v>20</v>
      </c>
      <c r="I36" t="n">
        <v>460</v>
      </c>
      <c r="J36" s="2">
        <f>F36/(D36+E36)</f>
        <v/>
      </c>
    </row>
    <row r="37">
      <c r="A37" t="inlineStr">
        <is>
          <t>P136</t>
        </is>
      </c>
      <c r="B37" t="inlineStr">
        <is>
          <t>External DVD Drive</t>
        </is>
      </c>
      <c r="C37" t="inlineStr">
        <is>
          <t>Storage</t>
        </is>
      </c>
      <c r="D37" t="n">
        <v>15</v>
      </c>
      <c r="E37" t="n">
        <v>6</v>
      </c>
      <c r="F37" t="n">
        <v>2</v>
      </c>
      <c r="G37" t="n">
        <v>17</v>
      </c>
      <c r="H37" t="n">
        <v>50</v>
      </c>
      <c r="I37" t="n">
        <v>850</v>
      </c>
      <c r="J37" s="2">
        <f>F37/(D37+E37)</f>
        <v/>
      </c>
    </row>
    <row r="38">
      <c r="A38" t="inlineStr">
        <is>
          <t>P137</t>
        </is>
      </c>
      <c r="B38" t="inlineStr">
        <is>
          <t>Printer Cable</t>
        </is>
      </c>
      <c r="C38" t="inlineStr">
        <is>
          <t>Accessories</t>
        </is>
      </c>
      <c r="D38" t="n">
        <v>25</v>
      </c>
      <c r="E38" t="n">
        <v>10</v>
      </c>
      <c r="F38" t="n">
        <v>4</v>
      </c>
      <c r="G38" t="n">
        <v>29</v>
      </c>
      <c r="H38" t="n">
        <v>5</v>
      </c>
      <c r="I38" t="n">
        <v>145</v>
      </c>
      <c r="J38" s="2">
        <f>F38/(D38+E38)</f>
        <v/>
      </c>
    </row>
    <row r="39">
      <c r="A39" t="inlineStr">
        <is>
          <t>P138</t>
        </is>
      </c>
      <c r="B39" t="inlineStr">
        <is>
          <t>Keyboard Cleaner</t>
        </is>
      </c>
      <c r="C39" t="inlineStr">
        <is>
          <t>Accessories</t>
        </is>
      </c>
      <c r="D39" t="n">
        <v>40</v>
      </c>
      <c r="E39" t="n">
        <v>18</v>
      </c>
      <c r="F39" t="n">
        <v>9</v>
      </c>
      <c r="G39" t="n">
        <v>49</v>
      </c>
      <c r="H39" t="n">
        <v>8</v>
      </c>
      <c r="I39" t="n">
        <v>392</v>
      </c>
      <c r="J39" s="2">
        <f>F39/(D39+E39)</f>
        <v/>
      </c>
    </row>
    <row r="40">
      <c r="A40" t="inlineStr">
        <is>
          <t>P139</t>
        </is>
      </c>
      <c r="B40" t="inlineStr">
        <is>
          <t>Laptop Cooling Pad</t>
        </is>
      </c>
      <c r="C40" t="inlineStr">
        <is>
          <t>Accessories</t>
        </is>
      </c>
      <c r="D40" t="n">
        <v>30</v>
      </c>
      <c r="E40" t="n">
        <v>15</v>
      </c>
      <c r="F40" t="n">
        <v>6</v>
      </c>
      <c r="G40" t="n">
        <v>39</v>
      </c>
      <c r="H40" t="n">
        <v>20</v>
      </c>
      <c r="I40" t="n">
        <v>780</v>
      </c>
      <c r="J40" s="2">
        <f>F40/(D40+E40)</f>
        <v/>
      </c>
    </row>
    <row r="41">
      <c r="A41" t="inlineStr">
        <is>
          <t>P140</t>
        </is>
      </c>
      <c r="B41" t="inlineStr">
        <is>
          <t>USB Hub</t>
        </is>
      </c>
      <c r="C41" t="inlineStr">
        <is>
          <t>Accessories</t>
        </is>
      </c>
      <c r="D41" t="n">
        <v>35</v>
      </c>
      <c r="E41" t="n">
        <v>12</v>
      </c>
      <c r="F41" t="n">
        <v>4</v>
      </c>
      <c r="G41" t="n">
        <v>31</v>
      </c>
      <c r="H41" t="n">
        <v>15</v>
      </c>
      <c r="I41" t="n">
        <v>465</v>
      </c>
      <c r="J41" s="2">
        <f>F41/(D41+E41)</f>
        <v/>
      </c>
    </row>
    <row r="42">
      <c r="A42" t="inlineStr">
        <is>
          <t>P141</t>
        </is>
      </c>
      <c r="B42" t="inlineStr">
        <is>
          <t>Anti-Glare Screen Protector</t>
        </is>
      </c>
      <c r="C42" t="inlineStr">
        <is>
          <t>Accessories</t>
        </is>
      </c>
      <c r="D42" t="n">
        <v>25</v>
      </c>
      <c r="E42" t="n">
        <v>8</v>
      </c>
      <c r="F42" t="n">
        <v>3</v>
      </c>
      <c r="G42" t="n">
        <v>28</v>
      </c>
      <c r="H42" t="n">
        <v>10</v>
      </c>
      <c r="I42" t="n">
        <v>280</v>
      </c>
      <c r="J42" s="2">
        <f>F42/(D42+E42)</f>
        <v/>
      </c>
    </row>
    <row r="43">
      <c r="A43" t="inlineStr">
        <is>
          <t>P142</t>
        </is>
      </c>
      <c r="B43" t="inlineStr">
        <is>
          <t>USB-C Adapter</t>
        </is>
      </c>
      <c r="C43" t="inlineStr">
        <is>
          <t>Accessories</t>
        </is>
      </c>
      <c r="D43" t="n">
        <v>20</v>
      </c>
      <c r="E43" t="n">
        <v>10</v>
      </c>
      <c r="F43" t="n">
        <v>4</v>
      </c>
      <c r="G43" t="n">
        <v>24</v>
      </c>
      <c r="H43" t="n">
        <v>15</v>
      </c>
      <c r="I43" t="n">
        <v>360</v>
      </c>
      <c r="J43" s="2">
        <f>F43/(D43+E43)</f>
        <v/>
      </c>
    </row>
    <row r="44">
      <c r="A44" t="inlineStr">
        <is>
          <t>P143</t>
        </is>
      </c>
      <c r="B44" t="inlineStr">
        <is>
          <t>Laptop Sleeve</t>
        </is>
      </c>
      <c r="C44" t="inlineStr">
        <is>
          <t>Accessories</t>
        </is>
      </c>
      <c r="D44" t="n">
        <v>30</v>
      </c>
      <c r="E44" t="n">
        <v>12</v>
      </c>
      <c r="F44" t="n">
        <v>5</v>
      </c>
      <c r="G44" t="n">
        <v>37</v>
      </c>
      <c r="H44" t="n">
        <v>20</v>
      </c>
      <c r="I44" t="n">
        <v>740</v>
      </c>
      <c r="J44" s="2">
        <f>F44/(D44+E44)</f>
        <v/>
      </c>
    </row>
    <row r="45">
      <c r="A45" t="inlineStr">
        <is>
          <t>P144</t>
        </is>
      </c>
      <c r="B45" t="inlineStr">
        <is>
          <t>Wireless Charger</t>
        </is>
      </c>
      <c r="C45" t="inlineStr">
        <is>
          <t>Accessories</t>
        </is>
      </c>
      <c r="D45" t="n">
        <v>40</v>
      </c>
      <c r="E45" t="n">
        <v>18</v>
      </c>
      <c r="F45" t="n">
        <v>7</v>
      </c>
      <c r="G45" t="n">
        <v>51</v>
      </c>
      <c r="H45" t="n">
        <v>30</v>
      </c>
      <c r="I45" t="n">
        <v>1530</v>
      </c>
      <c r="J45" s="2">
        <f>F45/(D45+E45)</f>
        <v/>
      </c>
    </row>
    <row r="46">
      <c r="A46" t="inlineStr">
        <is>
          <t>P145</t>
        </is>
      </c>
      <c r="B46" t="inlineStr">
        <is>
          <t>USB-C Cable</t>
        </is>
      </c>
      <c r="C46" t="inlineStr">
        <is>
          <t>Accessories</t>
        </is>
      </c>
      <c r="D46" t="n">
        <v>50</v>
      </c>
      <c r="E46" t="n">
        <v>20</v>
      </c>
      <c r="F46" t="n">
        <v>9</v>
      </c>
      <c r="G46" t="n">
        <v>61</v>
      </c>
      <c r="H46" t="n">
        <v>8</v>
      </c>
      <c r="I46" t="n">
        <v>488</v>
      </c>
      <c r="J46" s="2">
        <f>F46/(D46+E46)</f>
        <v/>
      </c>
    </row>
    <row r="47">
      <c r="A47" t="inlineStr">
        <is>
          <t>P146</t>
        </is>
      </c>
      <c r="B47" t="inlineStr">
        <is>
          <t>Gaming Desk</t>
        </is>
      </c>
      <c r="C47" t="inlineStr">
        <is>
          <t>Gaming</t>
        </is>
      </c>
      <c r="D47" t="n">
        <v>25</v>
      </c>
      <c r="E47" t="n">
        <v>10</v>
      </c>
      <c r="F47" t="n">
        <v>3</v>
      </c>
      <c r="G47" t="n">
        <v>28</v>
      </c>
      <c r="H47" t="n">
        <v>150</v>
      </c>
      <c r="I47" t="n">
        <v>4200</v>
      </c>
      <c r="J47" s="2">
        <f>F47/(D47+E47)</f>
        <v/>
      </c>
    </row>
  </sheetData>
  <autoFilter ref="A1:J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Category</t>
        </is>
      </c>
      <c r="B1" s="3" t="inlineStr">
        <is>
          <t>Product Count</t>
        </is>
      </c>
      <c r="C1" s="3" t="inlineStr">
        <is>
          <t>Opening Stock</t>
        </is>
      </c>
      <c r="D1" s="3" t="inlineStr">
        <is>
          <t>Purchases</t>
        </is>
      </c>
      <c r="E1" s="3" t="inlineStr">
        <is>
          <t>Units Sold</t>
        </is>
      </c>
      <c r="F1" s="3" t="inlineStr">
        <is>
          <t>Hand-In-Stock</t>
        </is>
      </c>
      <c r="G1" s="3" t="inlineStr">
        <is>
          <t>Inventory Value</t>
        </is>
      </c>
      <c r="H1" s="3" t="inlineStr">
        <is>
          <t>Avg Cost/Unit</t>
        </is>
      </c>
      <c r="I1" s="3" t="inlineStr">
        <is>
          <t>Sell-Through Rate</t>
        </is>
      </c>
    </row>
    <row r="2">
      <c r="A2" t="inlineStr">
        <is>
          <t>Computing</t>
        </is>
      </c>
      <c r="B2">
        <f>COUNTIF(Data!C2:C47,A2)</f>
        <v/>
      </c>
      <c r="C2">
        <f>SUMIF(Data!C2:C47,A2,Data!D2:D47)</f>
        <v/>
      </c>
      <c r="D2">
        <f>SUMIF(Data!C2:C47,A2,Data!E2:E47)</f>
        <v/>
      </c>
      <c r="E2">
        <f>SUMIF(Data!C2:C47,A2,Data!F2:F47)</f>
        <v/>
      </c>
      <c r="F2">
        <f>SUMIF(Data!C2:C47,A2,Data!G2:G47)</f>
        <v/>
      </c>
      <c r="G2">
        <f>SUMIF(Data!C2:C47,A2,Data!I2:I47)</f>
        <v/>
      </c>
      <c r="H2" s="4">
        <f>IF(F2=0,0,G2/F2)</f>
        <v/>
      </c>
      <c r="I2" s="2">
        <f>IF((C2+D2)=0,0,E2/(C2+D2))</f>
        <v/>
      </c>
    </row>
    <row r="3">
      <c r="A3" t="inlineStr">
        <is>
          <t>Monitors</t>
        </is>
      </c>
      <c r="B3">
        <f>COUNTIF(Data!C2:C47,A3)</f>
        <v/>
      </c>
      <c r="C3">
        <f>SUMIF(Data!C2:C47,A3,Data!D2:D47)</f>
        <v/>
      </c>
      <c r="D3">
        <f>SUMIF(Data!C2:C47,A3,Data!E2:E47)</f>
        <v/>
      </c>
      <c r="E3">
        <f>SUMIF(Data!C2:C47,A3,Data!F2:F47)</f>
        <v/>
      </c>
      <c r="F3">
        <f>SUMIF(Data!C2:C47,A3,Data!G2:G47)</f>
        <v/>
      </c>
      <c r="G3">
        <f>SUMIF(Data!C2:C47,A3,Data!I2:I47)</f>
        <v/>
      </c>
      <c r="H3" s="4">
        <f>IF(F3=0,0,G3/F3)</f>
        <v/>
      </c>
      <c r="I3" s="2">
        <f>IF((C3+D3)=0,0,E3/(C3+D3))</f>
        <v/>
      </c>
    </row>
    <row r="4">
      <c r="A4" t="inlineStr">
        <is>
          <t>Peripherals</t>
        </is>
      </c>
      <c r="B4">
        <f>COUNTIF(Data!C2:C47,A4)</f>
        <v/>
      </c>
      <c r="C4">
        <f>SUMIF(Data!C2:C47,A4,Data!D2:D47)</f>
        <v/>
      </c>
      <c r="D4">
        <f>SUMIF(Data!C2:C47,A4,Data!E2:E47)</f>
        <v/>
      </c>
      <c r="E4">
        <f>SUMIF(Data!C2:C47,A4,Data!F2:F47)</f>
        <v/>
      </c>
      <c r="F4">
        <f>SUMIF(Data!C2:C47,A4,Data!G2:G47)</f>
        <v/>
      </c>
      <c r="G4">
        <f>SUMIF(Data!C2:C47,A4,Data!I2:I47)</f>
        <v/>
      </c>
      <c r="H4" s="4">
        <f>IF(F4=0,0,G4/F4)</f>
        <v/>
      </c>
      <c r="I4" s="2">
        <f>IF((C4+D4)=0,0,E4/(C4+D4))</f>
        <v/>
      </c>
    </row>
    <row r="5">
      <c r="A5" t="inlineStr">
        <is>
          <t>Audio</t>
        </is>
      </c>
      <c r="B5">
        <f>COUNTIF(Data!C2:C47,A5)</f>
        <v/>
      </c>
      <c r="C5">
        <f>SUMIF(Data!C2:C47,A5,Data!D2:D47)</f>
        <v/>
      </c>
      <c r="D5">
        <f>SUMIF(Data!C2:C47,A5,Data!E2:E47)</f>
        <v/>
      </c>
      <c r="E5">
        <f>SUMIF(Data!C2:C47,A5,Data!F2:F47)</f>
        <v/>
      </c>
      <c r="F5">
        <f>SUMIF(Data!C2:C47,A5,Data!G2:G47)</f>
        <v/>
      </c>
      <c r="G5">
        <f>SUMIF(Data!C2:C47,A5,Data!I2:I47)</f>
        <v/>
      </c>
      <c r="H5" s="4">
        <f>IF(F5=0,0,G5/F5)</f>
        <v/>
      </c>
      <c r="I5" s="2">
        <f>IF((C5+D5)=0,0,E5/(C5+D5))</f>
        <v/>
      </c>
    </row>
    <row r="6">
      <c r="A6" t="inlineStr">
        <is>
          <t>Networking</t>
        </is>
      </c>
      <c r="B6">
        <f>COUNTIF(Data!C2:C47,A6)</f>
        <v/>
      </c>
      <c r="C6">
        <f>SUMIF(Data!C2:C47,A6,Data!D2:D47)</f>
        <v/>
      </c>
      <c r="D6">
        <f>SUMIF(Data!C2:C47,A6,Data!E2:E47)</f>
        <v/>
      </c>
      <c r="E6">
        <f>SUMIF(Data!C2:C47,A6,Data!F2:F47)</f>
        <v/>
      </c>
      <c r="F6">
        <f>SUMIF(Data!C2:C47,A6,Data!G2:G47)</f>
        <v/>
      </c>
      <c r="G6">
        <f>SUMIF(Data!C2:C47,A6,Data!I2:I47)</f>
        <v/>
      </c>
      <c r="H6" s="4">
        <f>IF(F6=0,0,G6/F6)</f>
        <v/>
      </c>
      <c r="I6" s="2">
        <f>IF((C6+D6)=0,0,E6/(C6+D6))</f>
        <v/>
      </c>
    </row>
    <row r="7">
      <c r="A7" t="inlineStr">
        <is>
          <t>Storage</t>
        </is>
      </c>
      <c r="B7">
        <f>COUNTIF(Data!C2:C47,A7)</f>
        <v/>
      </c>
      <c r="C7">
        <f>SUMIF(Data!C2:C47,A7,Data!D2:D47)</f>
        <v/>
      </c>
      <c r="D7">
        <f>SUMIF(Data!C2:C47,A7,Data!E2:E47)</f>
        <v/>
      </c>
      <c r="E7">
        <f>SUMIF(Data!C2:C47,A7,Data!F2:F47)</f>
        <v/>
      </c>
      <c r="F7">
        <f>SUMIF(Data!C2:C47,A7,Data!G2:G47)</f>
        <v/>
      </c>
      <c r="G7">
        <f>SUMIF(Data!C2:C47,A7,Data!I2:I47)</f>
        <v/>
      </c>
      <c r="H7" s="4">
        <f>IF(F7=0,0,G7/F7)</f>
        <v/>
      </c>
      <c r="I7" s="2">
        <f>IF((C7+D7)=0,0,E7/(C7+D7))</f>
        <v/>
      </c>
    </row>
    <row r="8">
      <c r="A8" t="inlineStr">
        <is>
          <t>Components</t>
        </is>
      </c>
      <c r="B8">
        <f>COUNTIF(Data!C2:C47,A8)</f>
        <v/>
      </c>
      <c r="C8">
        <f>SUMIF(Data!C2:C47,A8,Data!D2:D47)</f>
        <v/>
      </c>
      <c r="D8">
        <f>SUMIF(Data!C2:C47,A8,Data!E2:E47)</f>
        <v/>
      </c>
      <c r="E8">
        <f>SUMIF(Data!C2:C47,A8,Data!F2:F47)</f>
        <v/>
      </c>
      <c r="F8">
        <f>SUMIF(Data!C2:C47,A8,Data!G2:G47)</f>
        <v/>
      </c>
      <c r="G8">
        <f>SUMIF(Data!C2:C47,A8,Data!I2:I47)</f>
        <v/>
      </c>
      <c r="H8" s="4">
        <f>IF(F8=0,0,G8/F8)</f>
        <v/>
      </c>
      <c r="I8" s="2">
        <f>IF((C8+D8)=0,0,E8/(C8+D8))</f>
        <v/>
      </c>
    </row>
    <row r="9">
      <c r="A9" t="inlineStr">
        <is>
          <t>Gaming</t>
        </is>
      </c>
      <c r="B9">
        <f>COUNTIF(Data!C2:C47,A9)</f>
        <v/>
      </c>
      <c r="C9">
        <f>SUMIF(Data!C2:C47,A9,Data!D2:D47)</f>
        <v/>
      </c>
      <c r="D9">
        <f>SUMIF(Data!C2:C47,A9,Data!E2:E47)</f>
        <v/>
      </c>
      <c r="E9">
        <f>SUMIF(Data!C2:C47,A9,Data!F2:F47)</f>
        <v/>
      </c>
      <c r="F9">
        <f>SUMIF(Data!C2:C47,A9,Data!G2:G47)</f>
        <v/>
      </c>
      <c r="G9">
        <f>SUMIF(Data!C2:C47,A9,Data!I2:I47)</f>
        <v/>
      </c>
      <c r="H9" s="4">
        <f>IF(F9=0,0,G9/F9)</f>
        <v/>
      </c>
      <c r="I9" s="2">
        <f>IF((C9+D9)=0,0,E9/(C9+D9))</f>
        <v/>
      </c>
    </row>
    <row r="10">
      <c r="A10" t="inlineStr">
        <is>
          <t>Accessories</t>
        </is>
      </c>
      <c r="B10">
        <f>COUNTIF(Data!C2:C47,A10)</f>
        <v/>
      </c>
      <c r="C10">
        <f>SUMIF(Data!C2:C47,A10,Data!D2:D47)</f>
        <v/>
      </c>
      <c r="D10">
        <f>SUMIF(Data!C2:C47,A10,Data!E2:E47)</f>
        <v/>
      </c>
      <c r="E10">
        <f>SUMIF(Data!C2:C47,A10,Data!F2:F47)</f>
        <v/>
      </c>
      <c r="F10">
        <f>SUMIF(Data!C2:C47,A10,Data!G2:G47)</f>
        <v/>
      </c>
      <c r="G10">
        <f>SUMIF(Data!C2:C47,A10,Data!I2:I47)</f>
        <v/>
      </c>
      <c r="H10" s="4">
        <f>IF(F10=0,0,G10/F10)</f>
        <v/>
      </c>
      <c r="I10" s="2">
        <f>IF((C10+D10)=0,0,E10/(C10+D10))</f>
        <v/>
      </c>
    </row>
    <row r="11">
      <c r="A11" t="inlineStr">
        <is>
          <t>Furniture</t>
        </is>
      </c>
      <c r="B11">
        <f>COUNTIF(Data!C2:C47,A11)</f>
        <v/>
      </c>
      <c r="C11">
        <f>SUMIF(Data!C2:C47,A11,Data!D2:D47)</f>
        <v/>
      </c>
      <c r="D11">
        <f>SUMIF(Data!C2:C47,A11,Data!E2:E47)</f>
        <v/>
      </c>
      <c r="E11">
        <f>SUMIF(Data!C2:C47,A11,Data!F2:F47)</f>
        <v/>
      </c>
      <c r="F11">
        <f>SUMIF(Data!C2:C47,A11,Data!G2:G47)</f>
        <v/>
      </c>
      <c r="G11">
        <f>SUMIF(Data!C2:C47,A11,Data!I2:I47)</f>
        <v/>
      </c>
      <c r="H11" s="4">
        <f>IF(F11=0,0,G11/F11)</f>
        <v/>
      </c>
      <c r="I11" s="2">
        <f>IF((C11+D11)=0,0,E11/(C11+D11))</f>
        <v/>
      </c>
    </row>
    <row r="12">
      <c r="A12" t="inlineStr">
        <is>
          <t>Total</t>
        </is>
      </c>
      <c r="B12">
        <f>SUM(B2:B11)</f>
        <v/>
      </c>
      <c r="C12">
        <f>SUM(C2:C11)</f>
        <v/>
      </c>
      <c r="D12">
        <f>SUM(D2:D11)</f>
        <v/>
      </c>
      <c r="E12">
        <f>SUM(E2:E11)</f>
        <v/>
      </c>
      <c r="F12">
        <f>SUM(F2:F11)</f>
        <v/>
      </c>
      <c r="G12">
        <f>SUM(G2:G11)</f>
        <v/>
      </c>
      <c r="H12" s="4">
        <f>IF(F12=0,0,G12/F12)</f>
        <v/>
      </c>
      <c r="I12" s="2">
        <f>IF((C12+D12)=0,0,E12/(C12+D12))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O5"/>
  <sheetViews>
    <sheetView showGridLines="1" workbookViewId="0">
      <selection activeCell="A1" sqref="A1"/>
    </sheetView>
  </sheetViews>
  <sheetFormatPr baseColWidth="8" defaultRowHeight="15"/>
  <sheetData>
    <row r="2" ht="40" customHeight="1">
      <c r="A2" s="5" t="inlineStr">
        <is>
          <t xml:space="preserve">   INVENTORY MANAGEMENT REPORT &amp; KPI METRICS</t>
        </is>
      </c>
    </row>
    <row r="4" ht="20" customHeight="1">
      <c r="A4" s="6" t="inlineStr">
        <is>
          <t>TOTAL PRODUCTS</t>
        </is>
      </c>
      <c r="B4" s="7" t="n"/>
      <c r="C4" s="6" t="inlineStr">
        <is>
          <t>TOTAL OPENING STOCK</t>
        </is>
      </c>
      <c r="D4" s="7" t="n"/>
      <c r="E4" s="6" t="inlineStr">
        <is>
          <t>TOTAL PURCHASES</t>
        </is>
      </c>
      <c r="F4" s="7" t="n"/>
      <c r="G4" s="6" t="inlineStr">
        <is>
          <t>TOTAL UNITS SOLD</t>
        </is>
      </c>
      <c r="H4" s="7" t="n"/>
      <c r="I4" s="6" t="inlineStr">
        <is>
          <t>TOTAL HAND-IN-STOCK</t>
        </is>
      </c>
      <c r="J4" s="7" t="n"/>
      <c r="K4" s="6" t="inlineStr">
        <is>
          <t>INVENTORY VALUE</t>
        </is>
      </c>
      <c r="L4" s="7" t="n"/>
      <c r="M4" s="6" t="inlineStr">
        <is>
          <t>OVERALL SELL-THROUGH</t>
        </is>
      </c>
      <c r="N4" s="7" t="n"/>
      <c r="O4" s="7" t="n"/>
    </row>
    <row r="5" ht="28" customHeight="1">
      <c r="A5" s="8">
        <f>COUNTA(Data!A2:A47)</f>
        <v/>
      </c>
      <c r="B5" s="7" t="n"/>
      <c r="C5" s="8">
        <f>SUM(Data!D2:D47)</f>
        <v/>
      </c>
      <c r="D5" s="7" t="n"/>
      <c r="E5" s="8">
        <f>SUM(Data!E2:E47)</f>
        <v/>
      </c>
      <c r="F5" s="7" t="n"/>
      <c r="G5" s="8">
        <f>SUM(Data!F2:F47)</f>
        <v/>
      </c>
      <c r="H5" s="7" t="n"/>
      <c r="I5" s="8">
        <f>SUM(Data!G2:G47)</f>
        <v/>
      </c>
      <c r="J5" s="7" t="n"/>
      <c r="K5" s="9">
        <f>SUM(Data!I2:I47)</f>
        <v/>
      </c>
      <c r="L5" s="7" t="n"/>
      <c r="M5" s="10">
        <f>IF(SUM(Data!D2:D47)+SUM(Data!E2:E47)=0,0,SUM(Data!F2:F47)/(SUM(Data!D2:D47)+SUM(Data!E2:E47)))</f>
        <v/>
      </c>
      <c r="N5" s="7" t="n"/>
      <c r="O5" s="7" t="n"/>
    </row>
  </sheetData>
  <mergeCells count="15">
    <mergeCell ref="A4:B4"/>
    <mergeCell ref="G4:H4"/>
    <mergeCell ref="E4:F4"/>
    <mergeCell ref="I4:J4"/>
    <mergeCell ref="A2:O2"/>
    <mergeCell ref="M4:O4"/>
    <mergeCell ref="C5:D5"/>
    <mergeCell ref="A5:B5"/>
    <mergeCell ref="G5:H5"/>
    <mergeCell ref="E5:F5"/>
    <mergeCell ref="K5:L5"/>
    <mergeCell ref="I5:J5"/>
    <mergeCell ref="M5:O5"/>
    <mergeCell ref="K4:L4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2026-10-27T07:07:59Z</dcterms:created>
  <dcterms:modified xmlns:dcterms="http://purl.org/dc/terms/" xmlns:xsi="http://www.w3.org/2001/XMLSchema-instance" xsi:type="dcterms:W3CDTF">2026-10-27T07:07:59Z</dcterms:modified>
</cp:coreProperties>
</file>