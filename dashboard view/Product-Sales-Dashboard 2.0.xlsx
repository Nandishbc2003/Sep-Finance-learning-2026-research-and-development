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tic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1" hidden="1">'Data'!$A$1:$T$1501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1"/>
    </font>
    <font>
      <b val="1"/>
      <color rgb="00666666"/>
      <sz val="9"/>
    </font>
    <font>
      <b val="1"/>
      <color rgb="00FFFFFF"/>
      <sz val="14"/>
    </font>
    <font>
      <b val="1"/>
      <color rgb="00FFFFFF"/>
      <sz val="10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0F2439"/>
        <bgColor rgb="000F2439"/>
      </patternFill>
    </fill>
    <fill>
      <patternFill patternType="solid">
        <fgColor rgb="002E75B6"/>
        <bgColor rgb="002E75B6"/>
      </patternFill>
    </fill>
    <fill>
      <patternFill patternType="solid">
        <fgColor rgb="008338EC"/>
        <bgColor rgb="008338EC"/>
      </patternFill>
    </fill>
    <fill>
      <patternFill patternType="solid">
        <fgColor rgb="00FF006E"/>
        <bgColor rgb="00FF006E"/>
      </patternFill>
    </fill>
    <fill>
      <patternFill patternType="solid">
        <fgColor rgb="00FB5607"/>
        <bgColor rgb="00FB560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6" fillId="7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0" fontId="0" fillId="2" borderId="0" pivotButton="0" quotePrefix="0" xfId="0"/>
    <xf numFmtId="3" fontId="5" fillId="3" borderId="0" applyAlignment="1" pivotButton="0" quotePrefix="0" xfId="0">
      <alignment horizontal="center" vertical="center"/>
    </xf>
    <xf numFmtId="0" fontId="0" fillId="3" borderId="0" pivotButton="0" quotePrefix="0" xfId="0"/>
    <xf numFmtId="167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1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3" fontId="5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Region X=Region Y=SUM(TotalPrice)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'Analytics'!$A$3:$A$7</f>
            </numRef>
          </cat>
          <val>
            <numRef>
              <f>'Analytics'!$B$3:$B$7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Product X=Product Y=Sales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'Analytics'!$D$3:$D$9</f>
            </numRef>
          </cat>
          <val>
            <numRef>
              <f>'Analytics'!$E$3:$E$9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CustomerType X=Type Y=Qty</a:t>
            </a:r>
          </a:p>
        </rich>
      </tx>
    </title>
    <plotArea>
      <pieChart>
        <varyColors val="1"/>
        <ser>
          <idx val="0"/>
          <order val="0"/>
          <tx>
            <strRef>
              <f>'Analytics'!H2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'Analytics'!$G$3:$G$4</f>
            </numRef>
          </cat>
          <val>
            <numRef>
              <f>'Analytics'!$H$3:$H$4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Payment X=Payment Y=Sales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'Analytics'!$J$3:$J$7</f>
            </numRef>
          </cat>
          <val>
            <numRef>
              <f>'Analytics'!$K$3:$K$7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Store X=Store Y=Sales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'Analytics'!$A$14:$A$17</f>
            </numRef>
          </cat>
          <val>
            <numRef>
              <f>'Analytics'!$B$14:$B$17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Salesperson X=Salesperson Y=Sales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'Analytics'!$D$14:$D$19</f>
            </numRef>
          </cat>
          <val>
            <numRef>
              <f>'Analytics'!$E$14:$E$19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Monthly Trend X=YearMonth Y=Sales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'Analytics'!H13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'Analytics'!$G$14:$G$43</f>
            </numRef>
          </cat>
          <val>
            <numRef>
              <f>'Analytics'!$H$14:$H$43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Promo X=Promo Y=Sales</a:t>
            </a:r>
          </a:p>
        </rich>
      </tx>
    </title>
    <plotArea>
      <doughnutChart>
        <varyColors val="1"/>
        <ser>
          <idx val="0"/>
          <order val="0"/>
          <tx>
            <strRef>
              <f>'Analytics'!M13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'Analytics'!$L$14:$L$16</f>
            </numRef>
          </cat>
          <val>
            <numRef>
              <f>'Analytics'!$M$14:$M$16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9. Cumulative X=Month Y=Cumulative</a:t>
            </a:r>
          </a:p>
        </rich>
      </tx>
    </title>
    <plotArea>
      <areaChart>
        <grouping val="standard"/>
        <ser>
          <idx val="0"/>
          <order val="0"/>
          <tx>
            <strRef>
              <f>'Analytics'!J13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'Analytics'!$G$14:$G$43</f>
            </numRef>
          </cat>
          <val>
            <numRef>
              <f>'Analytics'!$J$14:$J$43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10. Scatter X=UnitPrice Y=Qty</a:t>
            </a:r>
          </a:p>
        </rich>
      </tx>
    </title>
    <plotArea>
      <scatterChart>
        <ser>
          <idx val="0"/>
          <order val="0"/>
          <tx>
            <v>Sample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'Analytics'!$G$41:$G$141</f>
            </numRef>
          </xVal>
          <yVal>
            <numRef>
              <f>'Analytics'!$H$41:$H$141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UnitPrice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11. Qty Monthly X=Month Y=Qty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'Analytics'!I13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'Analytics'!$G$14:$G$43</f>
            </numRef>
          </cat>
          <val>
            <numRef>
              <f>'Analytics'!$I$14:$I$43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12. Avg Discount X=Promo Y=Avg Discount</a:t>
            </a:r>
          </a:p>
        </rich>
      </tx>
    </title>
    <plotArea>
      <pieChart>
        <varyColors val="1"/>
        <ser>
          <idx val="0"/>
          <order val="0"/>
          <tx>
            <strRef>
              <f>'Analytics'!N13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'Analytics'!$L$14:$L$16</f>
            </numRef>
          </cat>
          <val>
            <numRef>
              <f>'Analytics'!$N$14:$N$16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13. Region Mock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'Analytics'!$A$3:$A$7</f>
            </numRef>
          </cat>
          <val>
            <numRef>
              <f>'Analytics'!$B$3:$B$7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14. Store Sample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'Analytics'!$A$14:$A$17</f>
            </numRef>
          </cat>
          <val>
            <numRef>
              <f>'Analytics'!$B$14:$B$17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15. Product Focus Top3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'Analytics'!$D$3:$D$5</f>
            </numRef>
          </cat>
          <val>
            <numRef>
              <f>'Analytics'!$E$3:$E$5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14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14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14</row>
      <rowOff>0</rowOff>
    </from>
    <ext cx="468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23</row>
      <rowOff>0</rowOff>
    </from>
    <ext cx="468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23</row>
      <rowOff>0</rowOff>
    </from>
    <ext cx="468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10</col>
      <colOff>0</colOff>
      <row>23</row>
      <rowOff>0</rowOff>
    </from>
    <ext cx="468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32</row>
      <rowOff>0</rowOff>
    </from>
    <ext cx="468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5</col>
      <colOff>0</colOff>
      <row>32</row>
      <rowOff>0</rowOff>
    </from>
    <ext cx="468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32</row>
      <rowOff>0</rowOff>
    </from>
    <ext cx="468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41</row>
      <rowOff>0</rowOff>
    </from>
    <ext cx="4680000" cy="25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</col>
      <colOff>0</colOff>
      <row>41</row>
      <rowOff>0</rowOff>
    </from>
    <ext cx="4680000" cy="25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10</col>
      <colOff>0</colOff>
      <row>41</row>
      <rowOff>0</rowOff>
    </from>
    <ext cx="4680000" cy="25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ata!A1" TargetMode="External" Id="rId1"/><Relationship Type="http://schemas.openxmlformats.org/officeDocument/2006/relationships/hyperlink" Target="#Analytics!A1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PRODUCT SALES REGION - ADVANCED 5.2 FIXED AUDITED | Plain Range Formulas Data!B2:B1501 - No Structured Ref = No #REF! | 15 Charts | Full Screen Alt+W+L</t>
        </is>
      </c>
    </row>
    <row r="2"/>
    <row r="3">
      <c r="A3" s="2" t="inlineStr">
        <is>
          <t>Total Revenue</t>
        </is>
      </c>
      <c r="D3" s="2" t="inlineStr">
        <is>
          <t>Total Qty</t>
        </is>
      </c>
      <c r="G3" s="2" t="inlineStr">
        <is>
          <t>Avg Discount</t>
        </is>
      </c>
      <c r="J3" s="2" t="inlineStr">
        <is>
          <t>Return Rate</t>
        </is>
      </c>
      <c r="M3" s="2" t="inlineStr">
        <is>
          <t>Total Orders</t>
        </is>
      </c>
      <c r="P3" s="3" t="inlineStr">
        <is>
          <t>⛶ FULL SCREEN (Alt+W+L)</t>
        </is>
      </c>
    </row>
    <row r="4">
      <c r="A4" s="4">
        <f>SUM(Data!J2:J1501)</f>
        <v/>
      </c>
      <c r="B4" s="5" t="n"/>
      <c r="D4" s="6">
        <f>SUM(Data!D2:D1501)</f>
        <v/>
      </c>
      <c r="E4" s="7" t="n"/>
      <c r="G4" s="8">
        <f>AVERAGE(Data!H2:H1501)</f>
        <v/>
      </c>
      <c r="H4" s="9" t="n"/>
      <c r="J4" s="10">
        <f>SUM(Data!M2:M1501)/COUNTA(Data!M2:M1501)</f>
        <v/>
      </c>
      <c r="K4" s="11" t="n"/>
      <c r="M4" s="12">
        <f>COUNTA(Data!N2:N1501)</f>
        <v/>
      </c>
      <c r="N4" s="13" t="n"/>
      <c r="P4" s="14" t="inlineStr">
        <is>
          <t>Go to Data</t>
        </is>
      </c>
      <c r="Q4" s="15" t="inlineStr">
        <is>
          <t>Go to Analytics</t>
        </is>
      </c>
    </row>
    <row r="5">
      <c r="A5" s="5" t="n"/>
      <c r="B5" s="5" t="n"/>
      <c r="D5" s="7" t="n"/>
      <c r="E5" s="7" t="n"/>
      <c r="G5" s="9" t="n"/>
      <c r="H5" s="9" t="n"/>
      <c r="J5" s="11" t="n"/>
      <c r="K5" s="11" t="n"/>
      <c r="M5" s="13" t="n"/>
      <c r="N5" s="13" t="n"/>
    </row>
  </sheetData>
  <mergeCells count="6">
    <mergeCell ref="A4:B5"/>
    <mergeCell ref="G4:H5"/>
    <mergeCell ref="D4:E5"/>
    <mergeCell ref="J4:K5"/>
    <mergeCell ref="A1:R2"/>
    <mergeCell ref="M4:N5"/>
  </mergeCells>
  <hyperlinks>
    <hyperlink xmlns:r="http://schemas.openxmlformats.org/officeDocument/2006/relationships" ref="P4" r:id="rId1"/>
    <hyperlink xmlns:r="http://schemas.openxmlformats.org/officeDocument/2006/relationships" ref="Q4" r:id="rId2"/>
  </hyperlinks>
  <pageMargins left="0.75" right="0.75" top="1" bottom="1" header="0.5" footer="0.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StoreLocation</t>
        </is>
      </c>
      <c r="G1" t="inlineStr">
        <is>
          <t>CustomerType</t>
        </is>
      </c>
      <c r="H1" t="inlineStr">
        <is>
          <t>Discount</t>
        </is>
      </c>
      <c r="I1" t="inlineStr">
        <is>
          <t>Salesperson</t>
        </is>
      </c>
      <c r="J1" t="inlineStr">
        <is>
          <t>TotalPrice</t>
        </is>
      </c>
      <c r="K1" t="inlineStr">
        <is>
          <t>PaymentMethod</t>
        </is>
      </c>
      <c r="L1" t="inlineStr">
        <is>
          <t>Promotion</t>
        </is>
      </c>
      <c r="M1" t="inlineStr">
        <is>
          <t>Returned</t>
        </is>
      </c>
      <c r="N1" t="inlineStr">
        <is>
          <t>OrderID</t>
        </is>
      </c>
      <c r="O1" t="inlineStr">
        <is>
          <t>CustomerName</t>
        </is>
      </c>
      <c r="P1" t="inlineStr">
        <is>
          <t>ShippingCost</t>
        </is>
      </c>
      <c r="Q1" t="inlineStr">
        <is>
          <t>OrderDate</t>
        </is>
      </c>
      <c r="R1" t="inlineStr">
        <is>
          <t>DeliveryDate</t>
        </is>
      </c>
      <c r="S1" t="inlineStr">
        <is>
          <t>RegionManager</t>
        </is>
      </c>
      <c r="T1" t="inlineStr">
        <is>
          <t>YearMonth</t>
        </is>
      </c>
    </row>
    <row r="2">
      <c r="A2" s="16" t="n">
        <v>44980</v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B</t>
        </is>
      </c>
      <c r="G2" t="inlineStr">
        <is>
          <t>Wholesale</t>
        </is>
      </c>
      <c r="H2" t="n">
        <v>0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Cust 6583</t>
        </is>
      </c>
      <c r="P2" t="n">
        <v>43.34</v>
      </c>
      <c r="Q2" s="16" t="n">
        <v>44980</v>
      </c>
      <c r="R2" s="16" t="n">
        <v>44984</v>
      </c>
      <c r="S2" t="inlineStr">
        <is>
          <t>Eric</t>
        </is>
      </c>
      <c r="T2" t="inlineStr">
        <is>
          <t>2023-02</t>
        </is>
      </c>
    </row>
    <row r="3">
      <c r="A3" s="16" t="n">
        <v>45645</v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0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Cust 2144</t>
        </is>
      </c>
      <c r="P3" t="n">
        <v>5.3</v>
      </c>
      <c r="Q3" s="16" t="n">
        <v>45645</v>
      </c>
      <c r="R3" s="16" t="n">
        <v>45654</v>
      </c>
      <c r="S3" t="inlineStr">
        <is>
          <t>Sophie</t>
        </is>
      </c>
      <c r="T3" t="inlineStr">
        <is>
          <t>2024-12</t>
        </is>
      </c>
    </row>
    <row r="4">
      <c r="A4" s="16" t="n">
        <v>45056</v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B</t>
        </is>
      </c>
      <c r="G4" t="inlineStr">
        <is>
          <t>Wholesale</t>
        </is>
      </c>
      <c r="H4" t="n">
        <v>0.1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Cust 5998</t>
        </is>
      </c>
      <c r="P4" t="n">
        <v>20.46</v>
      </c>
      <c r="Q4" s="16" t="n">
        <v>45056</v>
      </c>
      <c r="R4" s="16" t="n">
        <v>45065</v>
      </c>
      <c r="S4" t="inlineStr">
        <is>
          <t>Ryan</t>
        </is>
      </c>
      <c r="T4" t="inlineStr">
        <is>
          <t>2023-05</t>
        </is>
      </c>
    </row>
    <row r="5">
      <c r="A5" s="16" t="n">
        <v>45714</v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0.15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Cust 7136</t>
        </is>
      </c>
      <c r="P5" t="n">
        <v>27.95</v>
      </c>
      <c r="Q5" s="16" t="n">
        <v>45714</v>
      </c>
      <c r="R5" s="16" t="n">
        <v>45718</v>
      </c>
      <c r="S5" t="inlineStr">
        <is>
          <t>Cameron</t>
        </is>
      </c>
      <c r="T5" t="inlineStr">
        <is>
          <t>2025-02</t>
        </is>
      </c>
    </row>
    <row r="6">
      <c r="A6" s="16" t="n">
        <v>45101</v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0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Cust 6506</t>
        </is>
      </c>
      <c r="P6" t="n">
        <v>5.73</v>
      </c>
      <c r="Q6" s="16" t="n">
        <v>45101</v>
      </c>
      <c r="R6" s="16" t="n">
        <v>45104</v>
      </c>
      <c r="S6" t="inlineStr">
        <is>
          <t>Eric</t>
        </is>
      </c>
      <c r="T6" t="inlineStr">
        <is>
          <t>2023-06</t>
        </is>
      </c>
    </row>
    <row r="7">
      <c r="A7" s="16" t="n">
        <v>45342</v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0.15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n">
        <v/>
      </c>
      <c r="M7" t="n">
        <v>0</v>
      </c>
      <c r="N7" t="inlineStr">
        <is>
          <t>REG100005</t>
        </is>
      </c>
      <c r="O7" t="inlineStr">
        <is>
          <t>Cust 3909</t>
        </is>
      </c>
      <c r="P7" t="n">
        <v>11.92</v>
      </c>
      <c r="Q7" s="16" t="n">
        <v>45342</v>
      </c>
      <c r="R7" s="16" t="n">
        <v>45352</v>
      </c>
      <c r="S7" t="inlineStr">
        <is>
          <t>Cameron</t>
        </is>
      </c>
      <c r="T7" t="inlineStr">
        <is>
          <t>2024-02</t>
        </is>
      </c>
    </row>
    <row r="8">
      <c r="A8" s="16" t="n">
        <v>44937</v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C</t>
        </is>
      </c>
      <c r="G8" t="inlineStr">
        <is>
          <t>Retail</t>
        </is>
      </c>
      <c r="H8" t="n">
        <v>0.1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Cust 7887</t>
        </is>
      </c>
      <c r="P8" t="n">
        <v>5.02</v>
      </c>
      <c r="Q8" s="16" t="n">
        <v>44937</v>
      </c>
      <c r="R8" s="16" t="n">
        <v>44940</v>
      </c>
      <c r="S8" t="inlineStr">
        <is>
          <t>Sophie</t>
        </is>
      </c>
      <c r="T8" t="inlineStr">
        <is>
          <t>2023-01</t>
        </is>
      </c>
    </row>
    <row r="9">
      <c r="A9" s="16" t="n">
        <v>44935</v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0.15</v>
      </c>
      <c r="I9" t="inlineStr">
        <is>
          <t>Carlos</t>
        </is>
      </c>
      <c r="J9" t="n">
        <v>842.061</v>
      </c>
      <c r="K9" t="inlineStr">
        <is>
          <t>Cash</t>
        </is>
      </c>
      <c r="L9" t="n">
        <v/>
      </c>
      <c r="M9" t="n">
        <v>0</v>
      </c>
      <c r="N9" t="inlineStr">
        <is>
          <t>REG100007</t>
        </is>
      </c>
      <c r="O9" t="inlineStr">
        <is>
          <t>Cust 5301</t>
        </is>
      </c>
      <c r="P9" t="n">
        <v>48.01</v>
      </c>
      <c r="Q9" s="16" t="n">
        <v>44935</v>
      </c>
      <c r="R9" s="16" t="n">
        <v>44937</v>
      </c>
      <c r="S9" t="inlineStr">
        <is>
          <t>Cameron</t>
        </is>
      </c>
      <c r="T9" t="inlineStr">
        <is>
          <t>2023-01</t>
        </is>
      </c>
    </row>
    <row r="10">
      <c r="A10" s="16" t="n">
        <v>45581</v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D</t>
        </is>
      </c>
      <c r="G10" t="inlineStr">
        <is>
          <t>Wholesale</t>
        </is>
      </c>
      <c r="H10" t="n">
        <v>0.05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Cust 2284</t>
        </is>
      </c>
      <c r="P10" t="n">
        <v>42.11</v>
      </c>
      <c r="Q10" s="16" t="n">
        <v>45581</v>
      </c>
      <c r="R10" s="16" t="n">
        <v>45583</v>
      </c>
      <c r="S10" t="inlineStr">
        <is>
          <t>Sophie</t>
        </is>
      </c>
      <c r="T10" t="inlineStr">
        <is>
          <t>2024-10</t>
        </is>
      </c>
    </row>
    <row r="11">
      <c r="A11" s="16" t="n">
        <v>45721</v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D</t>
        </is>
      </c>
      <c r="G11" t="inlineStr">
        <is>
          <t>Retail</t>
        </is>
      </c>
      <c r="H11" t="n">
        <v>0.1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Cust 3732</t>
        </is>
      </c>
      <c r="P11" t="n">
        <v>41.1</v>
      </c>
      <c r="Q11" s="16" t="n">
        <v>45721</v>
      </c>
      <c r="R11" s="16" t="n">
        <v>45729</v>
      </c>
      <c r="S11" t="inlineStr">
        <is>
          <t>Wendy</t>
        </is>
      </c>
      <c r="T11" t="inlineStr">
        <is>
          <t>2025-03</t>
        </is>
      </c>
    </row>
    <row r="12">
      <c r="A12" s="16" t="n">
        <v>45392</v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B</t>
        </is>
      </c>
      <c r="G12" t="inlineStr">
        <is>
          <t>Wholesale</t>
        </is>
      </c>
      <c r="H12" t="n">
        <v>0.15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n">
        <v/>
      </c>
      <c r="M12" t="n">
        <v>0</v>
      </c>
      <c r="N12" t="inlineStr">
        <is>
          <t>REG100010</t>
        </is>
      </c>
      <c r="O12" t="inlineStr">
        <is>
          <t>Cust 1462</t>
        </is>
      </c>
      <c r="P12" t="n">
        <v>12.14</v>
      </c>
      <c r="Q12" s="16" t="n">
        <v>45392</v>
      </c>
      <c r="R12" s="16" t="n">
        <v>45399</v>
      </c>
      <c r="S12" t="inlineStr">
        <is>
          <t>Ryan</t>
        </is>
      </c>
      <c r="T12" t="inlineStr">
        <is>
          <t>2024-04</t>
        </is>
      </c>
    </row>
    <row r="13">
      <c r="A13" s="16" t="n">
        <v>45485</v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D</t>
        </is>
      </c>
      <c r="G13" t="inlineStr">
        <is>
          <t>Retail</t>
        </is>
      </c>
      <c r="H13" t="n">
        <v>0.1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n">
        <v/>
      </c>
      <c r="M13" t="n">
        <v>1</v>
      </c>
      <c r="N13" t="inlineStr">
        <is>
          <t>REG100011</t>
        </is>
      </c>
      <c r="O13" t="inlineStr">
        <is>
          <t>Cust 4330</t>
        </is>
      </c>
      <c r="P13" t="n">
        <v>44.89</v>
      </c>
      <c r="Q13" s="16" t="n">
        <v>45485</v>
      </c>
      <c r="R13" s="16" t="n">
        <v>45491</v>
      </c>
      <c r="S13" t="inlineStr">
        <is>
          <t>Eric</t>
        </is>
      </c>
      <c r="T13" t="inlineStr">
        <is>
          <t>2024-07</t>
        </is>
      </c>
    </row>
    <row r="14">
      <c r="A14" s="16" t="n">
        <v>45128</v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B</t>
        </is>
      </c>
      <c r="G14" t="inlineStr">
        <is>
          <t>Retail</t>
        </is>
      </c>
      <c r="H14" t="n">
        <v>0.05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Cust 2372</t>
        </is>
      </c>
      <c r="P14" t="n">
        <v>20.35</v>
      </c>
      <c r="Q14" s="16" t="n">
        <v>45128</v>
      </c>
      <c r="R14" s="16" t="n">
        <v>45138</v>
      </c>
      <c r="S14" t="inlineStr">
        <is>
          <t>Cameron</t>
        </is>
      </c>
      <c r="T14" t="inlineStr">
        <is>
          <t>2023-07</t>
        </is>
      </c>
    </row>
    <row r="15">
      <c r="A15" s="16" t="n">
        <v>45675</v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A</t>
        </is>
      </c>
      <c r="G15" t="inlineStr">
        <is>
          <t>Wholesale</t>
        </is>
      </c>
      <c r="H15" t="n">
        <v>0.15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n">
        <v/>
      </c>
      <c r="M15" t="n">
        <v>0</v>
      </c>
      <c r="N15" t="inlineStr">
        <is>
          <t>REG100013</t>
        </is>
      </c>
      <c r="O15" t="inlineStr">
        <is>
          <t>Cust 4672</t>
        </is>
      </c>
      <c r="P15" t="n">
        <v>42.82</v>
      </c>
      <c r="Q15" s="16" t="n">
        <v>45675</v>
      </c>
      <c r="R15" s="16" t="n">
        <v>45679</v>
      </c>
      <c r="S15" t="inlineStr">
        <is>
          <t>Wendy</t>
        </is>
      </c>
      <c r="T15" t="inlineStr">
        <is>
          <t>2025-01</t>
        </is>
      </c>
    </row>
    <row r="16">
      <c r="A16" s="16" t="n">
        <v>45634</v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B</t>
        </is>
      </c>
      <c r="G16" t="inlineStr">
        <is>
          <t>Retail</t>
        </is>
      </c>
      <c r="H16" t="n">
        <v>0.15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n">
        <v/>
      </c>
      <c r="M16" t="n">
        <v>0</v>
      </c>
      <c r="N16" t="inlineStr">
        <is>
          <t>REG100014</t>
        </is>
      </c>
      <c r="O16" t="inlineStr">
        <is>
          <t>Cust 4548</t>
        </is>
      </c>
      <c r="P16" t="n">
        <v>39.66</v>
      </c>
      <c r="Q16" s="16" t="n">
        <v>45634</v>
      </c>
      <c r="R16" s="16" t="n">
        <v>45641</v>
      </c>
      <c r="S16" t="inlineStr">
        <is>
          <t>Ryan</t>
        </is>
      </c>
      <c r="T16" t="inlineStr">
        <is>
          <t>2024-12</t>
        </is>
      </c>
    </row>
    <row r="17">
      <c r="A17" s="16" t="n">
        <v>45788</v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A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Cust 7037</t>
        </is>
      </c>
      <c r="P17" t="n">
        <v>8.109999999999999</v>
      </c>
      <c r="Q17" s="16" t="n">
        <v>45788</v>
      </c>
      <c r="R17" s="16" t="n">
        <v>45794</v>
      </c>
      <c r="S17" t="inlineStr">
        <is>
          <t>Wendy</t>
        </is>
      </c>
      <c r="T17" t="inlineStr">
        <is>
          <t>2025-05</t>
        </is>
      </c>
    </row>
    <row r="18">
      <c r="A18" s="16" t="n">
        <v>44983</v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D</t>
        </is>
      </c>
      <c r="G18" t="inlineStr">
        <is>
          <t>Wholesale</t>
        </is>
      </c>
      <c r="H18" t="n">
        <v>0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Cust 4975</t>
        </is>
      </c>
      <c r="P18" t="n">
        <v>34.11</v>
      </c>
      <c r="Q18" s="16" t="n">
        <v>44983</v>
      </c>
      <c r="R18" s="16" t="n">
        <v>44989</v>
      </c>
      <c r="S18" t="inlineStr">
        <is>
          <t>Wendy</t>
        </is>
      </c>
      <c r="T18" t="inlineStr">
        <is>
          <t>2023-02</t>
        </is>
      </c>
    </row>
    <row r="19">
      <c r="A19" s="16" t="n">
        <v>45440</v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0.05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Cust 8014</t>
        </is>
      </c>
      <c r="P19" t="n">
        <v>34.71</v>
      </c>
      <c r="Q19" s="16" t="n">
        <v>45440</v>
      </c>
      <c r="R19" s="16" t="n">
        <v>45444</v>
      </c>
      <c r="S19" t="inlineStr">
        <is>
          <t>Cameron</t>
        </is>
      </c>
      <c r="T19" t="inlineStr">
        <is>
          <t>2024-05</t>
        </is>
      </c>
    </row>
    <row r="20">
      <c r="A20" s="16" t="n">
        <v>45260</v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B</t>
        </is>
      </c>
      <c r="G20" t="inlineStr">
        <is>
          <t>Retail</t>
        </is>
      </c>
      <c r="H20" t="n">
        <v>0.15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Cust 1228</t>
        </is>
      </c>
      <c r="P20" t="n">
        <v>19.43</v>
      </c>
      <c r="Q20" s="16" t="n">
        <v>45260</v>
      </c>
      <c r="R20" s="16" t="n">
        <v>45268</v>
      </c>
      <c r="S20" t="inlineStr">
        <is>
          <t>Eric</t>
        </is>
      </c>
      <c r="T20" t="inlineStr">
        <is>
          <t>2023-11</t>
        </is>
      </c>
    </row>
    <row r="21">
      <c r="A21" s="16" t="n">
        <v>45099</v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B</t>
        </is>
      </c>
      <c r="G21" t="inlineStr">
        <is>
          <t>Retail</t>
        </is>
      </c>
      <c r="H21" t="n">
        <v>0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Cust 4247</t>
        </is>
      </c>
      <c r="P21" t="n">
        <v>7.1</v>
      </c>
      <c r="Q21" s="16" t="n">
        <v>45099</v>
      </c>
      <c r="R21" s="16" t="n">
        <v>45109</v>
      </c>
      <c r="S21" t="inlineStr">
        <is>
          <t>Wendy</t>
        </is>
      </c>
      <c r="T21" t="inlineStr">
        <is>
          <t>2023-06</t>
        </is>
      </c>
    </row>
    <row r="22">
      <c r="A22" s="16" t="n">
        <v>45813</v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0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n">
        <v/>
      </c>
      <c r="M22" t="n">
        <v>0</v>
      </c>
      <c r="N22" t="inlineStr">
        <is>
          <t>REG100020</t>
        </is>
      </c>
      <c r="O22" t="inlineStr">
        <is>
          <t>Cust 4199</t>
        </is>
      </c>
      <c r="P22" t="n">
        <v>28.43</v>
      </c>
      <c r="Q22" s="16" t="n">
        <v>45813</v>
      </c>
      <c r="R22" s="16" t="n">
        <v>45816</v>
      </c>
      <c r="S22" t="inlineStr">
        <is>
          <t>Wendy</t>
        </is>
      </c>
      <c r="T22" t="inlineStr">
        <is>
          <t>2025-06</t>
        </is>
      </c>
    </row>
    <row r="23">
      <c r="A23" s="16" t="n">
        <v>44988</v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A</t>
        </is>
      </c>
      <c r="G23" t="inlineStr">
        <is>
          <t>Retail</t>
        </is>
      </c>
      <c r="H23" t="n">
        <v>0.05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n">
        <v/>
      </c>
      <c r="M23" t="n">
        <v>1</v>
      </c>
      <c r="N23" t="inlineStr">
        <is>
          <t>REG100021</t>
        </is>
      </c>
      <c r="O23" t="inlineStr">
        <is>
          <t>Cust 4186</t>
        </is>
      </c>
      <c r="P23" t="n">
        <v>46.83</v>
      </c>
      <c r="Q23" s="16" t="n">
        <v>44988</v>
      </c>
      <c r="R23" s="16" t="n">
        <v>44993</v>
      </c>
      <c r="S23" t="inlineStr">
        <is>
          <t>Cameron</t>
        </is>
      </c>
      <c r="T23" t="inlineStr">
        <is>
          <t>2023-03</t>
        </is>
      </c>
    </row>
    <row r="24">
      <c r="A24" s="16" t="n">
        <v>45340</v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0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Cust 8137</t>
        </is>
      </c>
      <c r="P24" t="n">
        <v>36.45</v>
      </c>
      <c r="Q24" s="16" t="n">
        <v>45340</v>
      </c>
      <c r="R24" s="16" t="n">
        <v>45344</v>
      </c>
      <c r="S24" t="inlineStr">
        <is>
          <t>Ryan</t>
        </is>
      </c>
      <c r="T24" t="inlineStr">
        <is>
          <t>2024-02</t>
        </is>
      </c>
    </row>
    <row r="25">
      <c r="A25" s="16" t="n">
        <v>45144</v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0.15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n">
        <v/>
      </c>
      <c r="M25" t="n">
        <v>0</v>
      </c>
      <c r="N25" t="inlineStr">
        <is>
          <t>REG100023</t>
        </is>
      </c>
      <c r="O25" t="inlineStr">
        <is>
          <t>Cust 4638</t>
        </is>
      </c>
      <c r="P25" t="n">
        <v>27.97</v>
      </c>
      <c r="Q25" s="16" t="n">
        <v>45144</v>
      </c>
      <c r="R25" s="16" t="n">
        <v>45152</v>
      </c>
      <c r="S25" t="inlineStr">
        <is>
          <t>Cameron</t>
        </is>
      </c>
      <c r="T25" t="inlineStr">
        <is>
          <t>2023-08</t>
        </is>
      </c>
    </row>
    <row r="26">
      <c r="A26" s="16" t="n">
        <v>45435</v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A</t>
        </is>
      </c>
      <c r="G26" t="inlineStr">
        <is>
          <t>Wholesale</t>
        </is>
      </c>
      <c r="H26" t="n">
        <v>0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Cust 8538</t>
        </is>
      </c>
      <c r="P26" t="n">
        <v>46.69</v>
      </c>
      <c r="Q26" s="16" t="n">
        <v>45435</v>
      </c>
      <c r="R26" s="16" t="n">
        <v>45442</v>
      </c>
      <c r="S26" t="inlineStr">
        <is>
          <t>Ryan</t>
        </is>
      </c>
      <c r="T26" t="inlineStr">
        <is>
          <t>2024-05</t>
        </is>
      </c>
    </row>
    <row r="27">
      <c r="A27" s="16" t="n">
        <v>45222</v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0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Cust 6322</t>
        </is>
      </c>
      <c r="P27" t="n">
        <v>38.13</v>
      </c>
      <c r="Q27" s="16" t="n">
        <v>45222</v>
      </c>
      <c r="R27" s="16" t="n">
        <v>45227</v>
      </c>
      <c r="S27" t="inlineStr">
        <is>
          <t>Eric</t>
        </is>
      </c>
      <c r="T27" t="inlineStr">
        <is>
          <t>2023-10</t>
        </is>
      </c>
    </row>
    <row r="28">
      <c r="A28" s="16" t="n">
        <v>45824</v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D</t>
        </is>
      </c>
      <c r="G28" t="inlineStr">
        <is>
          <t>Retail</t>
        </is>
      </c>
      <c r="H28" t="n">
        <v>0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Cust 2609</t>
        </is>
      </c>
      <c r="P28" t="n">
        <v>11.59</v>
      </c>
      <c r="Q28" s="16" t="n">
        <v>45824</v>
      </c>
      <c r="R28" s="16" t="n">
        <v>45833</v>
      </c>
      <c r="S28" t="inlineStr">
        <is>
          <t>Wendy</t>
        </is>
      </c>
      <c r="T28" t="inlineStr">
        <is>
          <t>2025-06</t>
        </is>
      </c>
    </row>
    <row r="29">
      <c r="A29" s="16" t="n">
        <v>44988</v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B</t>
        </is>
      </c>
      <c r="G29" t="inlineStr">
        <is>
          <t>Retail</t>
        </is>
      </c>
      <c r="H29" t="n">
        <v>0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Cust 6880</t>
        </is>
      </c>
      <c r="P29" t="n">
        <v>24.78</v>
      </c>
      <c r="Q29" s="16" t="n">
        <v>44988</v>
      </c>
      <c r="R29" s="16" t="n">
        <v>44993</v>
      </c>
      <c r="S29" t="inlineStr">
        <is>
          <t>Ryan</t>
        </is>
      </c>
      <c r="T29" t="inlineStr">
        <is>
          <t>2023-03</t>
        </is>
      </c>
    </row>
    <row r="30">
      <c r="A30" s="16" t="n">
        <v>45614</v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A</t>
        </is>
      </c>
      <c r="G30" t="inlineStr">
        <is>
          <t>Retail</t>
        </is>
      </c>
      <c r="H30" t="n">
        <v>0.15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Cust 1997</t>
        </is>
      </c>
      <c r="P30" t="n">
        <v>7.61</v>
      </c>
      <c r="Q30" s="16" t="n">
        <v>45614</v>
      </c>
      <c r="R30" s="16" t="n">
        <v>45617</v>
      </c>
      <c r="S30" t="inlineStr">
        <is>
          <t>Sophie</t>
        </is>
      </c>
      <c r="T30" t="inlineStr">
        <is>
          <t>2024-11</t>
        </is>
      </c>
    </row>
    <row r="31">
      <c r="A31" s="16" t="n">
        <v>45055</v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A</t>
        </is>
      </c>
      <c r="G31" t="inlineStr">
        <is>
          <t>Wholesale</t>
        </is>
      </c>
      <c r="H31" t="n">
        <v>0.1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Cust 7072</t>
        </is>
      </c>
      <c r="P31" t="n">
        <v>33.17</v>
      </c>
      <c r="Q31" s="16" t="n">
        <v>45055</v>
      </c>
      <c r="R31" s="16" t="n">
        <v>45063</v>
      </c>
      <c r="S31" t="inlineStr">
        <is>
          <t>Cameron</t>
        </is>
      </c>
      <c r="T31" t="inlineStr">
        <is>
          <t>2023-05</t>
        </is>
      </c>
    </row>
    <row r="32">
      <c r="A32" s="16" t="n">
        <v>45633</v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D</t>
        </is>
      </c>
      <c r="G32" t="inlineStr">
        <is>
          <t>Retail</t>
        </is>
      </c>
      <c r="H32" t="n">
        <v>0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Cust 7201</t>
        </is>
      </c>
      <c r="P32" t="n">
        <v>37.38</v>
      </c>
      <c r="Q32" s="16" t="n">
        <v>45633</v>
      </c>
      <c r="R32" s="16" t="n">
        <v>45640</v>
      </c>
      <c r="S32" t="inlineStr">
        <is>
          <t>Ryan</t>
        </is>
      </c>
      <c r="T32" t="inlineStr">
        <is>
          <t>2024-12</t>
        </is>
      </c>
    </row>
    <row r="33">
      <c r="A33" s="16" t="n">
        <v>45335</v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C</t>
        </is>
      </c>
      <c r="G33" t="inlineStr">
        <is>
          <t>Retail</t>
        </is>
      </c>
      <c r="H33" t="n">
        <v>0.15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Cust 9923</t>
        </is>
      </c>
      <c r="P33" t="n">
        <v>12.35</v>
      </c>
      <c r="Q33" s="16" t="n">
        <v>45335</v>
      </c>
      <c r="R33" s="16" t="n">
        <v>45337</v>
      </c>
      <c r="S33" t="inlineStr">
        <is>
          <t>Ryan</t>
        </is>
      </c>
      <c r="T33" t="inlineStr">
        <is>
          <t>2024-02</t>
        </is>
      </c>
    </row>
    <row r="34">
      <c r="A34" s="16" t="n">
        <v>45725</v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0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Cust 2205</t>
        </is>
      </c>
      <c r="P34" t="n">
        <v>21.25</v>
      </c>
      <c r="Q34" s="16" t="n">
        <v>45725</v>
      </c>
      <c r="R34" s="16" t="n">
        <v>45731</v>
      </c>
      <c r="S34" t="inlineStr">
        <is>
          <t>Sophie</t>
        </is>
      </c>
      <c r="T34" t="inlineStr">
        <is>
          <t>2025-03</t>
        </is>
      </c>
    </row>
    <row r="35">
      <c r="A35" s="16" t="n">
        <v>45021</v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D</t>
        </is>
      </c>
      <c r="G35" t="inlineStr">
        <is>
          <t>Retail</t>
        </is>
      </c>
      <c r="H35" t="n">
        <v>0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n">
        <v/>
      </c>
      <c r="M35" t="n">
        <v>0</v>
      </c>
      <c r="N35" t="inlineStr">
        <is>
          <t>REG100033</t>
        </is>
      </c>
      <c r="O35" t="inlineStr">
        <is>
          <t>Cust 6403</t>
        </is>
      </c>
      <c r="P35" t="n">
        <v>17.91</v>
      </c>
      <c r="Q35" s="16" t="n">
        <v>45021</v>
      </c>
      <c r="R35" s="16" t="n">
        <v>45027</v>
      </c>
      <c r="S35" t="inlineStr">
        <is>
          <t>Cameron</t>
        </is>
      </c>
      <c r="T35" t="inlineStr">
        <is>
          <t>2023-04</t>
        </is>
      </c>
    </row>
    <row r="36">
      <c r="A36" s="16" t="n">
        <v>45785</v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0.15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Cust 3953</t>
        </is>
      </c>
      <c r="P36" t="n">
        <v>41.91</v>
      </c>
      <c r="Q36" s="16" t="n">
        <v>45785</v>
      </c>
      <c r="R36" s="16" t="n">
        <v>45789</v>
      </c>
      <c r="S36" t="inlineStr">
        <is>
          <t>Ryan</t>
        </is>
      </c>
      <c r="T36" t="inlineStr">
        <is>
          <t>2025-05</t>
        </is>
      </c>
    </row>
    <row r="37">
      <c r="A37" s="16" t="n">
        <v>45172</v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C</t>
        </is>
      </c>
      <c r="G37" t="inlineStr">
        <is>
          <t>Retail</t>
        </is>
      </c>
      <c r="H37" t="n">
        <v>0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n">
        <v/>
      </c>
      <c r="M37" t="n">
        <v>0</v>
      </c>
      <c r="N37" t="inlineStr">
        <is>
          <t>REG100035</t>
        </is>
      </c>
      <c r="O37" t="inlineStr">
        <is>
          <t>Cust 7902</t>
        </is>
      </c>
      <c r="P37" t="n">
        <v>12.57</v>
      </c>
      <c r="Q37" s="16" t="n">
        <v>45172</v>
      </c>
      <c r="R37" s="16" t="n">
        <v>45180</v>
      </c>
      <c r="S37" t="inlineStr">
        <is>
          <t>Ryan</t>
        </is>
      </c>
      <c r="T37" t="inlineStr">
        <is>
          <t>2023-09</t>
        </is>
      </c>
    </row>
    <row r="38">
      <c r="A38" s="16" t="n">
        <v>45737</v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A</t>
        </is>
      </c>
      <c r="G38" t="inlineStr">
        <is>
          <t>Retail</t>
        </is>
      </c>
      <c r="H38" t="n">
        <v>0.05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Cust 9968</t>
        </is>
      </c>
      <c r="P38" t="n">
        <v>40.29</v>
      </c>
      <c r="Q38" s="16" t="n">
        <v>45737</v>
      </c>
      <c r="R38" s="16" t="n">
        <v>45744</v>
      </c>
      <c r="S38" t="inlineStr">
        <is>
          <t>Cameron</t>
        </is>
      </c>
      <c r="T38" t="inlineStr">
        <is>
          <t>2025-03</t>
        </is>
      </c>
    </row>
    <row r="39">
      <c r="A39" s="16" t="n">
        <v>45828</v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B</t>
        </is>
      </c>
      <c r="G39" t="inlineStr">
        <is>
          <t>Retail</t>
        </is>
      </c>
      <c r="H39" t="n">
        <v>0.15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Cust 3787</t>
        </is>
      </c>
      <c r="P39" t="n">
        <v>34.97</v>
      </c>
      <c r="Q39" s="16" t="n">
        <v>45828</v>
      </c>
      <c r="R39" s="16" t="n">
        <v>45838</v>
      </c>
      <c r="S39" t="inlineStr">
        <is>
          <t>Sophie</t>
        </is>
      </c>
      <c r="T39" t="inlineStr">
        <is>
          <t>2025-06</t>
        </is>
      </c>
    </row>
    <row r="40">
      <c r="A40" s="16" t="n">
        <v>45337</v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C</t>
        </is>
      </c>
      <c r="G40" t="inlineStr">
        <is>
          <t>Retail</t>
        </is>
      </c>
      <c r="H40" t="n">
        <v>0.1</v>
      </c>
      <c r="I40" t="inlineStr">
        <is>
          <t>Bob</t>
        </is>
      </c>
      <c r="J40" t="n">
        <v>5394.438</v>
      </c>
      <c r="K40" t="inlineStr">
        <is>
          <t>Cash</t>
        </is>
      </c>
      <c r="L40" t="n">
        <v/>
      </c>
      <c r="M40" t="n">
        <v>1</v>
      </c>
      <c r="N40" t="inlineStr">
        <is>
          <t>REG100038</t>
        </is>
      </c>
      <c r="O40" t="inlineStr">
        <is>
          <t>Cust 2469</t>
        </is>
      </c>
      <c r="P40" t="n">
        <v>24.77</v>
      </c>
      <c r="Q40" s="16" t="n">
        <v>45337</v>
      </c>
      <c r="R40" s="16" t="n">
        <v>45347</v>
      </c>
      <c r="S40" t="inlineStr">
        <is>
          <t>Cameron</t>
        </is>
      </c>
      <c r="T40" t="inlineStr">
        <is>
          <t>2024-02</t>
        </is>
      </c>
    </row>
    <row r="41">
      <c r="A41" s="16" t="n">
        <v>45086</v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D</t>
        </is>
      </c>
      <c r="G41" t="inlineStr">
        <is>
          <t>Retail</t>
        </is>
      </c>
      <c r="H41" t="n">
        <v>0.15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n">
        <v/>
      </c>
      <c r="M41" t="n">
        <v>0</v>
      </c>
      <c r="N41" t="inlineStr">
        <is>
          <t>REG100039</t>
        </is>
      </c>
      <c r="O41" t="inlineStr">
        <is>
          <t>Cust 6468</t>
        </is>
      </c>
      <c r="P41" t="n">
        <v>34.79</v>
      </c>
      <c r="Q41" s="16" t="n">
        <v>45086</v>
      </c>
      <c r="R41" s="16" t="n">
        <v>45094</v>
      </c>
      <c r="S41" t="inlineStr">
        <is>
          <t>Cameron</t>
        </is>
      </c>
      <c r="T41" t="inlineStr">
        <is>
          <t>2023-06</t>
        </is>
      </c>
    </row>
    <row r="42">
      <c r="A42" s="16" t="n">
        <v>45148</v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A</t>
        </is>
      </c>
      <c r="G42" t="inlineStr">
        <is>
          <t>Retail</t>
        </is>
      </c>
      <c r="H42" t="n">
        <v>0.1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Cust 5312</t>
        </is>
      </c>
      <c r="P42" t="n">
        <v>17.77</v>
      </c>
      <c r="Q42" s="16" t="n">
        <v>45148</v>
      </c>
      <c r="R42" s="16" t="n">
        <v>45152</v>
      </c>
      <c r="S42" t="inlineStr">
        <is>
          <t>Sophie</t>
        </is>
      </c>
      <c r="T42" t="inlineStr">
        <is>
          <t>2023-08</t>
        </is>
      </c>
    </row>
    <row r="43">
      <c r="A43" s="16" t="n">
        <v>45459</v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0.05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Cust 1482</t>
        </is>
      </c>
      <c r="P43" t="n">
        <v>21.72</v>
      </c>
      <c r="Q43" s="16" t="n">
        <v>45459</v>
      </c>
      <c r="R43" s="16" t="n">
        <v>45468</v>
      </c>
      <c r="S43" t="inlineStr">
        <is>
          <t>Cameron</t>
        </is>
      </c>
      <c r="T43" t="inlineStr">
        <is>
          <t>2024-06</t>
        </is>
      </c>
    </row>
    <row r="44">
      <c r="A44" s="16" t="n">
        <v>45130</v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A</t>
        </is>
      </c>
      <c r="G44" t="inlineStr">
        <is>
          <t>Retail</t>
        </is>
      </c>
      <c r="H44" t="n">
        <v>0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Cust 7903</t>
        </is>
      </c>
      <c r="P44" t="n">
        <v>34.85</v>
      </c>
      <c r="Q44" s="16" t="n">
        <v>45130</v>
      </c>
      <c r="R44" s="16" t="n">
        <v>45133</v>
      </c>
      <c r="S44" t="inlineStr">
        <is>
          <t>Sophie</t>
        </is>
      </c>
      <c r="T44" t="inlineStr">
        <is>
          <t>2023-07</t>
        </is>
      </c>
    </row>
    <row r="45">
      <c r="A45" s="16" t="n">
        <v>45066</v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D</t>
        </is>
      </c>
      <c r="G45" t="inlineStr">
        <is>
          <t>Wholesale</t>
        </is>
      </c>
      <c r="H45" t="n">
        <v>0.15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Cust 9605</t>
        </is>
      </c>
      <c r="P45" t="n">
        <v>27.39</v>
      </c>
      <c r="Q45" s="16" t="n">
        <v>45066</v>
      </c>
      <c r="R45" s="16" t="n">
        <v>45073</v>
      </c>
      <c r="S45" t="inlineStr">
        <is>
          <t>Cameron</t>
        </is>
      </c>
      <c r="T45" t="inlineStr">
        <is>
          <t>2023-05</t>
        </is>
      </c>
    </row>
    <row r="46">
      <c r="A46" s="16" t="n">
        <v>45107</v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D</t>
        </is>
      </c>
      <c r="G46" t="inlineStr">
        <is>
          <t>Retail</t>
        </is>
      </c>
      <c r="H46" t="n">
        <v>0.05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Cust 3298</t>
        </is>
      </c>
      <c r="P46" t="n">
        <v>11.62</v>
      </c>
      <c r="Q46" s="16" t="n">
        <v>45107</v>
      </c>
      <c r="R46" s="16" t="n">
        <v>45111</v>
      </c>
      <c r="S46" t="inlineStr">
        <is>
          <t>Sophie</t>
        </is>
      </c>
      <c r="T46" t="inlineStr">
        <is>
          <t>2023-06</t>
        </is>
      </c>
    </row>
    <row r="47">
      <c r="A47" s="16" t="n">
        <v>45447</v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D</t>
        </is>
      </c>
      <c r="G47" t="inlineStr">
        <is>
          <t>Retail</t>
        </is>
      </c>
      <c r="H47" t="n">
        <v>0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Cust 5533</t>
        </is>
      </c>
      <c r="P47" t="n">
        <v>20.76</v>
      </c>
      <c r="Q47" s="16" t="n">
        <v>45447</v>
      </c>
      <c r="R47" s="16" t="n">
        <v>45457</v>
      </c>
      <c r="S47" t="inlineStr">
        <is>
          <t>Sophie</t>
        </is>
      </c>
      <c r="T47" t="inlineStr">
        <is>
          <t>2024-06</t>
        </is>
      </c>
    </row>
    <row r="48">
      <c r="A48" s="16" t="n">
        <v>45691</v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0.15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Cust 6362</t>
        </is>
      </c>
      <c r="P48" t="n">
        <v>24.95</v>
      </c>
      <c r="Q48" s="16" t="n">
        <v>45691</v>
      </c>
      <c r="R48" s="16" t="n">
        <v>45693</v>
      </c>
      <c r="S48" t="inlineStr">
        <is>
          <t>Wendy</t>
        </is>
      </c>
      <c r="T48" t="inlineStr">
        <is>
          <t>2025-02</t>
        </is>
      </c>
    </row>
    <row r="49">
      <c r="A49" s="16" t="n">
        <v>45300</v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D</t>
        </is>
      </c>
      <c r="G49" t="inlineStr">
        <is>
          <t>Retail</t>
        </is>
      </c>
      <c r="H49" t="n">
        <v>0.15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Cust 4826</t>
        </is>
      </c>
      <c r="P49" t="n">
        <v>6.47</v>
      </c>
      <c r="Q49" s="16" t="n">
        <v>45300</v>
      </c>
      <c r="R49" s="16" t="n">
        <v>45304</v>
      </c>
      <c r="S49" t="inlineStr">
        <is>
          <t>Eric</t>
        </is>
      </c>
      <c r="T49" t="inlineStr">
        <is>
          <t>2024-01</t>
        </is>
      </c>
    </row>
    <row r="50">
      <c r="A50" s="16" t="n">
        <v>45365</v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A</t>
        </is>
      </c>
      <c r="G50" t="inlineStr">
        <is>
          <t>Retail</t>
        </is>
      </c>
      <c r="H50" t="n">
        <v>0.1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n">
        <v/>
      </c>
      <c r="M50" t="n">
        <v>0</v>
      </c>
      <c r="N50" t="inlineStr">
        <is>
          <t>REG100048</t>
        </is>
      </c>
      <c r="O50" t="inlineStr">
        <is>
          <t>Cust 2171</t>
        </is>
      </c>
      <c r="P50" t="n">
        <v>20.57</v>
      </c>
      <c r="Q50" s="16" t="n">
        <v>45365</v>
      </c>
      <c r="R50" s="16" t="n">
        <v>45367</v>
      </c>
      <c r="S50" t="inlineStr">
        <is>
          <t>Ryan</t>
        </is>
      </c>
      <c r="T50" t="inlineStr">
        <is>
          <t>2024-03</t>
        </is>
      </c>
    </row>
    <row r="51">
      <c r="A51" s="16" t="n">
        <v>45541</v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D</t>
        </is>
      </c>
      <c r="G51" t="inlineStr">
        <is>
          <t>Wholesale</t>
        </is>
      </c>
      <c r="H51" t="n">
        <v>0.15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Cust 4005</t>
        </is>
      </c>
      <c r="P51" t="n">
        <v>20.71</v>
      </c>
      <c r="Q51" s="16" t="n">
        <v>45541</v>
      </c>
      <c r="R51" s="16" t="n">
        <v>45548</v>
      </c>
      <c r="S51" t="inlineStr">
        <is>
          <t>Wendy</t>
        </is>
      </c>
      <c r="T51" t="inlineStr">
        <is>
          <t>2024-09</t>
        </is>
      </c>
    </row>
    <row r="52">
      <c r="A52" s="16" t="n">
        <v>45002</v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0.1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Cust 7032</t>
        </is>
      </c>
      <c r="P52" t="n">
        <v>12.87</v>
      </c>
      <c r="Q52" s="16" t="n">
        <v>45002</v>
      </c>
      <c r="R52" s="16" t="n">
        <v>45005</v>
      </c>
      <c r="S52" t="inlineStr">
        <is>
          <t>Eric</t>
        </is>
      </c>
      <c r="T52" t="inlineStr">
        <is>
          <t>2023-03</t>
        </is>
      </c>
    </row>
    <row r="53">
      <c r="A53" s="16" t="n">
        <v>45674</v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C</t>
        </is>
      </c>
      <c r="G53" t="inlineStr">
        <is>
          <t>Wholesale</t>
        </is>
      </c>
      <c r="H53" t="n">
        <v>0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Cust 7167</t>
        </is>
      </c>
      <c r="P53" t="n">
        <v>42.49</v>
      </c>
      <c r="Q53" s="16" t="n">
        <v>45674</v>
      </c>
      <c r="R53" s="16" t="n">
        <v>45681</v>
      </c>
      <c r="S53" t="inlineStr">
        <is>
          <t>Wendy</t>
        </is>
      </c>
      <c r="T53" t="inlineStr">
        <is>
          <t>2025-01</t>
        </is>
      </c>
    </row>
    <row r="54">
      <c r="A54" s="16" t="n">
        <v>45547</v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B</t>
        </is>
      </c>
      <c r="G54" t="inlineStr">
        <is>
          <t>Wholesale</t>
        </is>
      </c>
      <c r="H54" t="n">
        <v>0.1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Cust 5702</t>
        </is>
      </c>
      <c r="P54" t="n">
        <v>19.22</v>
      </c>
      <c r="Q54" s="16" t="n">
        <v>45547</v>
      </c>
      <c r="R54" s="16" t="n">
        <v>45553</v>
      </c>
      <c r="S54" t="inlineStr">
        <is>
          <t>Sophie</t>
        </is>
      </c>
      <c r="T54" t="inlineStr">
        <is>
          <t>2024-09</t>
        </is>
      </c>
    </row>
    <row r="55">
      <c r="A55" s="16" t="n">
        <v>45296</v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0.05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Cust 4944</t>
        </is>
      </c>
      <c r="P55" t="n">
        <v>36.51</v>
      </c>
      <c r="Q55" s="16" t="n">
        <v>45296</v>
      </c>
      <c r="R55" s="16" t="n">
        <v>45306</v>
      </c>
      <c r="S55" t="inlineStr">
        <is>
          <t>Sophie</t>
        </is>
      </c>
      <c r="T55" t="inlineStr">
        <is>
          <t>2024-01</t>
        </is>
      </c>
    </row>
    <row r="56">
      <c r="A56" s="16" t="n">
        <v>45401</v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A</t>
        </is>
      </c>
      <c r="G56" t="inlineStr">
        <is>
          <t>Wholesale</t>
        </is>
      </c>
      <c r="H56" t="n">
        <v>0.15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n">
        <v/>
      </c>
      <c r="M56" t="n">
        <v>0</v>
      </c>
      <c r="N56" t="inlineStr">
        <is>
          <t>REG100054</t>
        </is>
      </c>
      <c r="O56" t="inlineStr">
        <is>
          <t>Cust 8149</t>
        </is>
      </c>
      <c r="P56" t="n">
        <v>37.39</v>
      </c>
      <c r="Q56" s="16" t="n">
        <v>45401</v>
      </c>
      <c r="R56" s="16" t="n">
        <v>45407</v>
      </c>
      <c r="S56" t="inlineStr">
        <is>
          <t>Wendy</t>
        </is>
      </c>
      <c r="T56" t="inlineStr">
        <is>
          <t>2024-04</t>
        </is>
      </c>
    </row>
    <row r="57">
      <c r="A57" s="16" t="n">
        <v>45819</v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D</t>
        </is>
      </c>
      <c r="G57" t="inlineStr">
        <is>
          <t>Wholesale</t>
        </is>
      </c>
      <c r="H57" t="n">
        <v>0.05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Cust 3638</t>
        </is>
      </c>
      <c r="P57" t="n">
        <v>36.33</v>
      </c>
      <c r="Q57" s="16" t="n">
        <v>45819</v>
      </c>
      <c r="R57" s="16" t="n">
        <v>45829</v>
      </c>
      <c r="S57" t="inlineStr">
        <is>
          <t>Cameron</t>
        </is>
      </c>
      <c r="T57" t="inlineStr">
        <is>
          <t>2025-06</t>
        </is>
      </c>
    </row>
    <row r="58">
      <c r="A58" s="16" t="n">
        <v>45722</v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B</t>
        </is>
      </c>
      <c r="G58" t="inlineStr">
        <is>
          <t>Retail</t>
        </is>
      </c>
      <c r="H58" t="n">
        <v>0.15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Cust 9973</t>
        </is>
      </c>
      <c r="P58" t="n">
        <v>7.84</v>
      </c>
      <c r="Q58" s="16" t="n">
        <v>45722</v>
      </c>
      <c r="R58" s="16" t="n">
        <v>45731</v>
      </c>
      <c r="S58" t="inlineStr">
        <is>
          <t>Eric</t>
        </is>
      </c>
      <c r="T58" t="inlineStr">
        <is>
          <t>2025-03</t>
        </is>
      </c>
    </row>
    <row r="59">
      <c r="A59" s="16" t="n">
        <v>45070</v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Cust 4214</t>
        </is>
      </c>
      <c r="P59" t="n">
        <v>18.35</v>
      </c>
      <c r="Q59" s="16" t="n">
        <v>45070</v>
      </c>
      <c r="R59" s="16" t="n">
        <v>45072</v>
      </c>
      <c r="S59" t="inlineStr">
        <is>
          <t>Eric</t>
        </is>
      </c>
      <c r="T59" t="inlineStr">
        <is>
          <t>2023-05</t>
        </is>
      </c>
    </row>
    <row r="60">
      <c r="A60" s="16" t="n">
        <v>44953</v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0.05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Cust 2647</t>
        </is>
      </c>
      <c r="P60" t="n">
        <v>15.95</v>
      </c>
      <c r="Q60" s="16" t="n">
        <v>44953</v>
      </c>
      <c r="R60" s="16" t="n">
        <v>44960</v>
      </c>
      <c r="S60" t="inlineStr">
        <is>
          <t>Sophie</t>
        </is>
      </c>
      <c r="T60" t="inlineStr">
        <is>
          <t>2023-01</t>
        </is>
      </c>
    </row>
    <row r="61">
      <c r="A61" s="16" t="n">
        <v>45372</v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0.05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Cust 3552</t>
        </is>
      </c>
      <c r="P61" t="n">
        <v>15.69</v>
      </c>
      <c r="Q61" s="16" t="n">
        <v>45372</v>
      </c>
      <c r="R61" s="16" t="n">
        <v>45378</v>
      </c>
      <c r="S61" t="inlineStr">
        <is>
          <t>Sophie</t>
        </is>
      </c>
      <c r="T61" t="inlineStr">
        <is>
          <t>2024-03</t>
        </is>
      </c>
    </row>
    <row r="62">
      <c r="A62" s="16" t="n">
        <v>45682</v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D</t>
        </is>
      </c>
      <c r="G62" t="inlineStr">
        <is>
          <t>Retail</t>
        </is>
      </c>
      <c r="H62" t="n">
        <v>0.15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Cust 3354</t>
        </is>
      </c>
      <c r="P62" t="n">
        <v>13.66</v>
      </c>
      <c r="Q62" s="16" t="n">
        <v>45682</v>
      </c>
      <c r="R62" s="16" t="n">
        <v>45688</v>
      </c>
      <c r="S62" t="inlineStr">
        <is>
          <t>Wendy</t>
        </is>
      </c>
      <c r="T62" t="inlineStr">
        <is>
          <t>2025-01</t>
        </is>
      </c>
    </row>
    <row r="63">
      <c r="A63" s="16" t="n">
        <v>45089</v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D</t>
        </is>
      </c>
      <c r="G63" t="inlineStr">
        <is>
          <t>Retail</t>
        </is>
      </c>
      <c r="H63" t="n">
        <v>0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Cust 3903</t>
        </is>
      </c>
      <c r="P63" t="n">
        <v>36.54</v>
      </c>
      <c r="Q63" s="16" t="n">
        <v>45089</v>
      </c>
      <c r="R63" s="16" t="n">
        <v>45098</v>
      </c>
      <c r="S63" t="inlineStr">
        <is>
          <t>Cameron</t>
        </is>
      </c>
      <c r="T63" t="inlineStr">
        <is>
          <t>2023-06</t>
        </is>
      </c>
    </row>
    <row r="64">
      <c r="A64" s="16" t="n">
        <v>45738</v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B</t>
        </is>
      </c>
      <c r="G64" t="inlineStr">
        <is>
          <t>Retail</t>
        </is>
      </c>
      <c r="H64" t="n">
        <v>0.1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n">
        <v/>
      </c>
      <c r="M64" t="n">
        <v>0</v>
      </c>
      <c r="N64" t="inlineStr">
        <is>
          <t>REG100062</t>
        </is>
      </c>
      <c r="O64" t="inlineStr">
        <is>
          <t>Cust 5358</t>
        </is>
      </c>
      <c r="P64" t="n">
        <v>15.62</v>
      </c>
      <c r="Q64" s="16" t="n">
        <v>45738</v>
      </c>
      <c r="R64" s="16" t="n">
        <v>45742</v>
      </c>
      <c r="S64" t="inlineStr">
        <is>
          <t>Cameron</t>
        </is>
      </c>
      <c r="T64" t="inlineStr">
        <is>
          <t>2025-03</t>
        </is>
      </c>
    </row>
    <row r="65">
      <c r="A65" s="16" t="n">
        <v>45346</v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D</t>
        </is>
      </c>
      <c r="G65" t="inlineStr">
        <is>
          <t>Retail</t>
        </is>
      </c>
      <c r="H65" t="n">
        <v>0.15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Cust 8144</t>
        </is>
      </c>
      <c r="P65" t="n">
        <v>29.5</v>
      </c>
      <c r="Q65" s="16" t="n">
        <v>45346</v>
      </c>
      <c r="R65" s="16" t="n">
        <v>45349</v>
      </c>
      <c r="S65" t="inlineStr">
        <is>
          <t>Cameron</t>
        </is>
      </c>
      <c r="T65" t="inlineStr">
        <is>
          <t>2024-02</t>
        </is>
      </c>
    </row>
    <row r="66">
      <c r="A66" s="16" t="n">
        <v>45269</v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B</t>
        </is>
      </c>
      <c r="G66" t="inlineStr">
        <is>
          <t>Wholesale</t>
        </is>
      </c>
      <c r="H66" t="n">
        <v>0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Cust 6747</t>
        </is>
      </c>
      <c r="P66" t="n">
        <v>21.77</v>
      </c>
      <c r="Q66" s="16" t="n">
        <v>45269</v>
      </c>
      <c r="R66" s="16" t="n">
        <v>45272</v>
      </c>
      <c r="S66" t="inlineStr">
        <is>
          <t>Sophie</t>
        </is>
      </c>
      <c r="T66" t="inlineStr">
        <is>
          <t>2023-12</t>
        </is>
      </c>
    </row>
    <row r="67">
      <c r="A67" s="16" t="n">
        <v>45200</v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B</t>
        </is>
      </c>
      <c r="G67" t="inlineStr">
        <is>
          <t>Retail</t>
        </is>
      </c>
      <c r="H67" t="n">
        <v>0.1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Cust 8330</t>
        </is>
      </c>
      <c r="P67" t="n">
        <v>22.43</v>
      </c>
      <c r="Q67" s="16" t="n">
        <v>45200</v>
      </c>
      <c r="R67" s="16" t="n">
        <v>45204</v>
      </c>
      <c r="S67" t="inlineStr">
        <is>
          <t>Cameron</t>
        </is>
      </c>
      <c r="T67" t="inlineStr">
        <is>
          <t>2023-10</t>
        </is>
      </c>
    </row>
    <row r="68">
      <c r="A68" s="16" t="n">
        <v>45138</v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D</t>
        </is>
      </c>
      <c r="G68" t="inlineStr">
        <is>
          <t>Wholesale</t>
        </is>
      </c>
      <c r="H68" t="n">
        <v>0.05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n">
        <v/>
      </c>
      <c r="M68" t="n">
        <v>0</v>
      </c>
      <c r="N68" t="inlineStr">
        <is>
          <t>REG100066</t>
        </is>
      </c>
      <c r="O68" t="inlineStr">
        <is>
          <t>Cust 7186</t>
        </is>
      </c>
      <c r="P68" t="n">
        <v>12.24</v>
      </c>
      <c r="Q68" s="16" t="n">
        <v>45138</v>
      </c>
      <c r="R68" s="16" t="n">
        <v>45145</v>
      </c>
      <c r="S68" t="inlineStr">
        <is>
          <t>Wendy</t>
        </is>
      </c>
      <c r="T68" t="inlineStr">
        <is>
          <t>2023-07</t>
        </is>
      </c>
    </row>
    <row r="69">
      <c r="A69" s="16" t="n">
        <v>45650</v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A</t>
        </is>
      </c>
      <c r="G69" t="inlineStr">
        <is>
          <t>Wholesale</t>
        </is>
      </c>
      <c r="H69" t="n">
        <v>0.05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Cust 8287</t>
        </is>
      </c>
      <c r="P69" t="n">
        <v>41.27</v>
      </c>
      <c r="Q69" s="16" t="n">
        <v>45650</v>
      </c>
      <c r="R69" s="16" t="n">
        <v>45657</v>
      </c>
      <c r="S69" t="inlineStr">
        <is>
          <t>Sophie</t>
        </is>
      </c>
      <c r="T69" t="inlineStr">
        <is>
          <t>2024-12</t>
        </is>
      </c>
    </row>
    <row r="70">
      <c r="A70" s="16" t="n">
        <v>45611</v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0.1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Cust 3986</t>
        </is>
      </c>
      <c r="P70" t="n">
        <v>35.14</v>
      </c>
      <c r="Q70" s="16" t="n">
        <v>45611</v>
      </c>
      <c r="R70" s="16" t="n">
        <v>45615</v>
      </c>
      <c r="S70" t="inlineStr">
        <is>
          <t>Ryan</t>
        </is>
      </c>
      <c r="T70" t="inlineStr">
        <is>
          <t>2024-11</t>
        </is>
      </c>
    </row>
    <row r="71">
      <c r="A71" s="16" t="n">
        <v>45729</v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0.15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Cust 3213</t>
        </is>
      </c>
      <c r="P71" t="n">
        <v>8.380000000000001</v>
      </c>
      <c r="Q71" s="16" t="n">
        <v>45729</v>
      </c>
      <c r="R71" s="16" t="n">
        <v>45738</v>
      </c>
      <c r="S71" t="inlineStr">
        <is>
          <t>Wendy</t>
        </is>
      </c>
      <c r="T71" t="inlineStr">
        <is>
          <t>2025-03</t>
        </is>
      </c>
    </row>
    <row r="72">
      <c r="A72" s="16" t="n">
        <v>45354</v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D</t>
        </is>
      </c>
      <c r="G72" t="inlineStr">
        <is>
          <t>Retail</t>
        </is>
      </c>
      <c r="H72" t="n">
        <v>0.15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Cust 1907</t>
        </is>
      </c>
      <c r="P72" t="n">
        <v>15.76</v>
      </c>
      <c r="Q72" s="16" t="n">
        <v>45354</v>
      </c>
      <c r="R72" s="16" t="n">
        <v>45363</v>
      </c>
      <c r="S72" t="inlineStr">
        <is>
          <t>Eric</t>
        </is>
      </c>
      <c r="T72" t="inlineStr">
        <is>
          <t>2024-03</t>
        </is>
      </c>
    </row>
    <row r="73">
      <c r="A73" s="16" t="n">
        <v>44968</v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A</t>
        </is>
      </c>
      <c r="G73" t="inlineStr">
        <is>
          <t>Wholesale</t>
        </is>
      </c>
      <c r="H73" t="n">
        <v>0.1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Cust 4639</t>
        </is>
      </c>
      <c r="P73" t="n">
        <v>5.89</v>
      </c>
      <c r="Q73" s="16" t="n">
        <v>44968</v>
      </c>
      <c r="R73" s="16" t="n">
        <v>44971</v>
      </c>
      <c r="S73" t="inlineStr">
        <is>
          <t>Cameron</t>
        </is>
      </c>
      <c r="T73" t="inlineStr">
        <is>
          <t>2023-02</t>
        </is>
      </c>
    </row>
    <row r="74">
      <c r="A74" s="16" t="n">
        <v>45225</v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Cust 4153</t>
        </is>
      </c>
      <c r="P74" t="n">
        <v>6.57</v>
      </c>
      <c r="Q74" s="16" t="n">
        <v>45225</v>
      </c>
      <c r="R74" s="16" t="n">
        <v>45235</v>
      </c>
      <c r="S74" t="inlineStr">
        <is>
          <t>Sophie</t>
        </is>
      </c>
      <c r="T74" t="inlineStr">
        <is>
          <t>2023-10</t>
        </is>
      </c>
    </row>
    <row r="75">
      <c r="A75" s="16" t="n">
        <v>45220</v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0.05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n">
        <v/>
      </c>
      <c r="M75" t="n">
        <v>0</v>
      </c>
      <c r="N75" t="inlineStr">
        <is>
          <t>REG100073</t>
        </is>
      </c>
      <c r="O75" t="inlineStr">
        <is>
          <t>Cust 7096</t>
        </is>
      </c>
      <c r="P75" t="n">
        <v>33.52</v>
      </c>
      <c r="Q75" s="16" t="n">
        <v>45220</v>
      </c>
      <c r="R75" s="16" t="n">
        <v>45227</v>
      </c>
      <c r="S75" t="inlineStr">
        <is>
          <t>Sophie</t>
        </is>
      </c>
      <c r="T75" t="inlineStr">
        <is>
          <t>2023-10</t>
        </is>
      </c>
    </row>
    <row r="76">
      <c r="A76" s="16" t="n">
        <v>45305</v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0.15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Cust 3806</t>
        </is>
      </c>
      <c r="P76" t="n">
        <v>33.59</v>
      </c>
      <c r="Q76" s="16" t="n">
        <v>45305</v>
      </c>
      <c r="R76" s="16" t="n">
        <v>45311</v>
      </c>
      <c r="S76" t="inlineStr">
        <is>
          <t>Cameron</t>
        </is>
      </c>
      <c r="T76" t="inlineStr">
        <is>
          <t>2024-01</t>
        </is>
      </c>
    </row>
    <row r="77">
      <c r="A77" s="16" t="n">
        <v>45134</v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D</t>
        </is>
      </c>
      <c r="G77" t="inlineStr">
        <is>
          <t>Wholesale</t>
        </is>
      </c>
      <c r="H77" t="n">
        <v>0.1</v>
      </c>
      <c r="I77" t="inlineStr">
        <is>
          <t>Eva</t>
        </is>
      </c>
      <c r="J77" t="n">
        <v>4985.19</v>
      </c>
      <c r="K77" t="inlineStr">
        <is>
          <t>Online</t>
        </is>
      </c>
      <c r="L77" t="n">
        <v/>
      </c>
      <c r="M77" t="n">
        <v>0</v>
      </c>
      <c r="N77" t="inlineStr">
        <is>
          <t>REG100075</t>
        </is>
      </c>
      <c r="O77" t="inlineStr">
        <is>
          <t>Cust 9345</t>
        </is>
      </c>
      <c r="P77" t="n">
        <v>31.3</v>
      </c>
      <c r="Q77" s="16" t="n">
        <v>45134</v>
      </c>
      <c r="R77" s="16" t="n">
        <v>45138</v>
      </c>
      <c r="S77" t="inlineStr">
        <is>
          <t>Cameron</t>
        </is>
      </c>
      <c r="T77" t="inlineStr">
        <is>
          <t>2023-07</t>
        </is>
      </c>
    </row>
    <row r="78">
      <c r="A78" s="16" t="n">
        <v>45588</v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0.1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Cust 4456</t>
        </is>
      </c>
      <c r="P78" t="n">
        <v>14.41</v>
      </c>
      <c r="Q78" s="16" t="n">
        <v>45588</v>
      </c>
      <c r="R78" s="16" t="n">
        <v>45590</v>
      </c>
      <c r="S78" t="inlineStr">
        <is>
          <t>Sophie</t>
        </is>
      </c>
      <c r="T78" t="inlineStr">
        <is>
          <t>2024-10</t>
        </is>
      </c>
    </row>
    <row r="79">
      <c r="A79" s="16" t="n">
        <v>45195</v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B</t>
        </is>
      </c>
      <c r="G79" t="inlineStr">
        <is>
          <t>Retail</t>
        </is>
      </c>
      <c r="H79" t="n">
        <v>0.15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Cust 1089</t>
        </is>
      </c>
      <c r="P79" t="n">
        <v>7.87</v>
      </c>
      <c r="Q79" s="16" t="n">
        <v>45195</v>
      </c>
      <c r="R79" s="16" t="n">
        <v>45200</v>
      </c>
      <c r="S79" t="inlineStr">
        <is>
          <t>Sophie</t>
        </is>
      </c>
      <c r="T79" t="inlineStr">
        <is>
          <t>2023-09</t>
        </is>
      </c>
    </row>
    <row r="80">
      <c r="A80" s="16" t="n">
        <v>45276</v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D</t>
        </is>
      </c>
      <c r="G80" t="inlineStr">
        <is>
          <t>Retail</t>
        </is>
      </c>
      <c r="H80" t="n">
        <v>0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Cust 7230</t>
        </is>
      </c>
      <c r="P80" t="n">
        <v>49.05</v>
      </c>
      <c r="Q80" s="16" t="n">
        <v>45276</v>
      </c>
      <c r="R80" s="16" t="n">
        <v>45280</v>
      </c>
      <c r="S80" t="inlineStr">
        <is>
          <t>Eric</t>
        </is>
      </c>
      <c r="T80" t="inlineStr">
        <is>
          <t>2023-12</t>
        </is>
      </c>
    </row>
    <row r="81">
      <c r="A81" s="16" t="n">
        <v>45293</v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0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n">
        <v/>
      </c>
      <c r="M81" t="n">
        <v>0</v>
      </c>
      <c r="N81" t="inlineStr">
        <is>
          <t>REG100079</t>
        </is>
      </c>
      <c r="O81" t="inlineStr">
        <is>
          <t>Cust 6597</t>
        </is>
      </c>
      <c r="P81" t="n">
        <v>39.98</v>
      </c>
      <c r="Q81" s="16" t="n">
        <v>45293</v>
      </c>
      <c r="R81" s="16" t="n">
        <v>45296</v>
      </c>
      <c r="S81" t="inlineStr">
        <is>
          <t>Cameron</t>
        </is>
      </c>
      <c r="T81" t="inlineStr">
        <is>
          <t>2024-01</t>
        </is>
      </c>
    </row>
    <row r="82">
      <c r="A82" s="16" t="n">
        <v>45338</v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0.05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Cust 4108</t>
        </is>
      </c>
      <c r="P82" t="n">
        <v>38.82</v>
      </c>
      <c r="Q82" s="16" t="n">
        <v>45338</v>
      </c>
      <c r="R82" s="16" t="n">
        <v>45347</v>
      </c>
      <c r="S82" t="inlineStr">
        <is>
          <t>Ryan</t>
        </is>
      </c>
      <c r="T82" t="inlineStr">
        <is>
          <t>2024-02</t>
        </is>
      </c>
    </row>
    <row r="83">
      <c r="A83" s="16" t="n">
        <v>45415</v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0.15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n">
        <v/>
      </c>
      <c r="M83" t="n">
        <v>1</v>
      </c>
      <c r="N83" t="inlineStr">
        <is>
          <t>REG100081</t>
        </is>
      </c>
      <c r="O83" t="inlineStr">
        <is>
          <t>Cust 2883</t>
        </is>
      </c>
      <c r="P83" t="n">
        <v>24.03</v>
      </c>
      <c r="Q83" s="16" t="n">
        <v>45415</v>
      </c>
      <c r="R83" s="16" t="n">
        <v>45424</v>
      </c>
      <c r="S83" t="inlineStr">
        <is>
          <t>Eric</t>
        </is>
      </c>
      <c r="T83" t="inlineStr">
        <is>
          <t>2024-05</t>
        </is>
      </c>
    </row>
    <row r="84">
      <c r="A84" s="16" t="n">
        <v>45073</v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C</t>
        </is>
      </c>
      <c r="G84" t="inlineStr">
        <is>
          <t>Retail</t>
        </is>
      </c>
      <c r="H84" t="n">
        <v>0.05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Cust 5018</t>
        </is>
      </c>
      <c r="P84" t="n">
        <v>12.38</v>
      </c>
      <c r="Q84" s="16" t="n">
        <v>45073</v>
      </c>
      <c r="R84" s="16" t="n">
        <v>45079</v>
      </c>
      <c r="S84" t="inlineStr">
        <is>
          <t>Wendy</t>
        </is>
      </c>
      <c r="T84" t="inlineStr">
        <is>
          <t>2023-05</t>
        </is>
      </c>
    </row>
    <row r="85">
      <c r="A85" s="16" t="n">
        <v>44931</v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A</t>
        </is>
      </c>
      <c r="G85" t="inlineStr">
        <is>
          <t>Wholesale</t>
        </is>
      </c>
      <c r="H85" t="n">
        <v>0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Cust 1231</t>
        </is>
      </c>
      <c r="P85" t="n">
        <v>41.16</v>
      </c>
      <c r="Q85" s="16" t="n">
        <v>44931</v>
      </c>
      <c r="R85" s="16" t="n">
        <v>44937</v>
      </c>
      <c r="S85" t="inlineStr">
        <is>
          <t>Eric</t>
        </is>
      </c>
      <c r="T85" t="inlineStr">
        <is>
          <t>2023-01</t>
        </is>
      </c>
    </row>
    <row r="86">
      <c r="A86" s="16" t="n">
        <v>45798</v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A</t>
        </is>
      </c>
      <c r="G86" t="inlineStr">
        <is>
          <t>Retail</t>
        </is>
      </c>
      <c r="H86" t="n">
        <v>0.15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Cust 2209</t>
        </is>
      </c>
      <c r="P86" t="n">
        <v>40.21</v>
      </c>
      <c r="Q86" s="16" t="n">
        <v>45798</v>
      </c>
      <c r="R86" s="16" t="n">
        <v>45800</v>
      </c>
      <c r="S86" t="inlineStr">
        <is>
          <t>Eric</t>
        </is>
      </c>
      <c r="T86" t="inlineStr">
        <is>
          <t>2025-05</t>
        </is>
      </c>
    </row>
    <row r="87">
      <c r="A87" s="16" t="n">
        <v>45128</v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B</t>
        </is>
      </c>
      <c r="G87" t="inlineStr">
        <is>
          <t>Retail</t>
        </is>
      </c>
      <c r="H87" t="n">
        <v>0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Cust 6684</t>
        </is>
      </c>
      <c r="P87" t="n">
        <v>37.75</v>
      </c>
      <c r="Q87" s="16" t="n">
        <v>45128</v>
      </c>
      <c r="R87" s="16" t="n">
        <v>45132</v>
      </c>
      <c r="S87" t="inlineStr">
        <is>
          <t>Cameron</t>
        </is>
      </c>
      <c r="T87" t="inlineStr">
        <is>
          <t>2023-07</t>
        </is>
      </c>
    </row>
    <row r="88">
      <c r="A88" s="16" t="n">
        <v>45802</v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C</t>
        </is>
      </c>
      <c r="G88" t="inlineStr">
        <is>
          <t>Retail</t>
        </is>
      </c>
      <c r="H88" t="n">
        <v>0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Cust 5289</t>
        </is>
      </c>
      <c r="P88" t="n">
        <v>23.49</v>
      </c>
      <c r="Q88" s="16" t="n">
        <v>45802</v>
      </c>
      <c r="R88" s="16" t="n">
        <v>45811</v>
      </c>
      <c r="S88" t="inlineStr">
        <is>
          <t>Eric</t>
        </is>
      </c>
      <c r="T88" t="inlineStr">
        <is>
          <t>2025-05</t>
        </is>
      </c>
    </row>
    <row r="89">
      <c r="A89" s="16" t="n">
        <v>45612</v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0.1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Cust 9159</t>
        </is>
      </c>
      <c r="P89" t="n">
        <v>33.47</v>
      </c>
      <c r="Q89" s="16" t="n">
        <v>45612</v>
      </c>
      <c r="R89" s="16" t="n">
        <v>45618</v>
      </c>
      <c r="S89" t="inlineStr">
        <is>
          <t>Sophie</t>
        </is>
      </c>
      <c r="T89" t="inlineStr">
        <is>
          <t>2024-11</t>
        </is>
      </c>
    </row>
    <row r="90">
      <c r="A90" s="16" t="n">
        <v>45249</v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C</t>
        </is>
      </c>
      <c r="G90" t="inlineStr">
        <is>
          <t>Wholesale</t>
        </is>
      </c>
      <c r="H90" t="n">
        <v>0.05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n">
        <v/>
      </c>
      <c r="M90" t="n">
        <v>0</v>
      </c>
      <c r="N90" t="inlineStr">
        <is>
          <t>REG100088</t>
        </is>
      </c>
      <c r="O90" t="inlineStr">
        <is>
          <t>Cust 4844</t>
        </is>
      </c>
      <c r="P90" t="n">
        <v>36.47</v>
      </c>
      <c r="Q90" s="16" t="n">
        <v>45249</v>
      </c>
      <c r="R90" s="16" t="n">
        <v>45255</v>
      </c>
      <c r="S90" t="inlineStr">
        <is>
          <t>Ryan</t>
        </is>
      </c>
      <c r="T90" t="inlineStr">
        <is>
          <t>2023-11</t>
        </is>
      </c>
    </row>
    <row r="91">
      <c r="A91" s="16" t="n">
        <v>45669</v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A</t>
        </is>
      </c>
      <c r="G91" t="inlineStr">
        <is>
          <t>Wholesale</t>
        </is>
      </c>
      <c r="H91" t="n">
        <v>0.05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Cust 3273</t>
        </is>
      </c>
      <c r="P91" t="n">
        <v>48.51</v>
      </c>
      <c r="Q91" s="16" t="n">
        <v>45669</v>
      </c>
      <c r="R91" s="16" t="n">
        <v>45678</v>
      </c>
      <c r="S91" t="inlineStr">
        <is>
          <t>Cameron</t>
        </is>
      </c>
      <c r="T91" t="inlineStr">
        <is>
          <t>2025-01</t>
        </is>
      </c>
    </row>
    <row r="92">
      <c r="A92" s="16" t="n">
        <v>45014</v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A</t>
        </is>
      </c>
      <c r="G92" t="inlineStr">
        <is>
          <t>Wholesale</t>
        </is>
      </c>
      <c r="H92" t="n">
        <v>0.1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Cust 8160</t>
        </is>
      </c>
      <c r="P92" t="n">
        <v>18.3</v>
      </c>
      <c r="Q92" s="16" t="n">
        <v>45014</v>
      </c>
      <c r="R92" s="16" t="n">
        <v>45019</v>
      </c>
      <c r="S92" t="inlineStr">
        <is>
          <t>Ryan</t>
        </is>
      </c>
      <c r="T92" t="inlineStr">
        <is>
          <t>2023-03</t>
        </is>
      </c>
    </row>
    <row r="93">
      <c r="A93" s="16" t="n">
        <v>45717</v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0.05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Cust 4439</t>
        </is>
      </c>
      <c r="P93" t="n">
        <v>14.8</v>
      </c>
      <c r="Q93" s="16" t="n">
        <v>45717</v>
      </c>
      <c r="R93" s="16" t="n">
        <v>45721</v>
      </c>
      <c r="S93" t="inlineStr">
        <is>
          <t>Ryan</t>
        </is>
      </c>
      <c r="T93" t="inlineStr">
        <is>
          <t>2025-03</t>
        </is>
      </c>
    </row>
    <row r="94">
      <c r="A94" s="16" t="n">
        <v>45217</v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B</t>
        </is>
      </c>
      <c r="G94" t="inlineStr">
        <is>
          <t>Wholesale</t>
        </is>
      </c>
      <c r="H94" t="n">
        <v>0.15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Cust 1127</t>
        </is>
      </c>
      <c r="P94" t="n">
        <v>18.05</v>
      </c>
      <c r="Q94" s="16" t="n">
        <v>45217</v>
      </c>
      <c r="R94" s="16" t="n">
        <v>45219</v>
      </c>
      <c r="S94" t="inlineStr">
        <is>
          <t>Ryan</t>
        </is>
      </c>
      <c r="T94" t="inlineStr">
        <is>
          <t>2023-10</t>
        </is>
      </c>
    </row>
    <row r="95">
      <c r="A95" s="16" t="n">
        <v>45760</v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C</t>
        </is>
      </c>
      <c r="G95" t="inlineStr">
        <is>
          <t>Wholesale</t>
        </is>
      </c>
      <c r="H95" t="n">
        <v>0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Cust 4696</t>
        </is>
      </c>
      <c r="P95" t="n">
        <v>5.01</v>
      </c>
      <c r="Q95" s="16" t="n">
        <v>45760</v>
      </c>
      <c r="R95" s="16" t="n">
        <v>45762</v>
      </c>
      <c r="S95" t="inlineStr">
        <is>
          <t>Eric</t>
        </is>
      </c>
      <c r="T95" t="inlineStr">
        <is>
          <t>2025-04</t>
        </is>
      </c>
    </row>
    <row r="96">
      <c r="A96" s="16" t="n">
        <v>45790</v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0.05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Cust 3014</t>
        </is>
      </c>
      <c r="P96" t="n">
        <v>11.54</v>
      </c>
      <c r="Q96" s="16" t="n">
        <v>45790</v>
      </c>
      <c r="R96" s="16" t="n">
        <v>45800</v>
      </c>
      <c r="S96" t="inlineStr">
        <is>
          <t>Cameron</t>
        </is>
      </c>
      <c r="T96" t="inlineStr">
        <is>
          <t>2025-05</t>
        </is>
      </c>
    </row>
    <row r="97">
      <c r="A97" s="16" t="n">
        <v>45403</v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B</t>
        </is>
      </c>
      <c r="G97" t="inlineStr">
        <is>
          <t>Wholesale</t>
        </is>
      </c>
      <c r="H97" t="n">
        <v>0.05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Cust 2539</t>
        </is>
      </c>
      <c r="P97" t="n">
        <v>6.11</v>
      </c>
      <c r="Q97" s="16" t="n">
        <v>45403</v>
      </c>
      <c r="R97" s="16" t="n">
        <v>45409</v>
      </c>
      <c r="S97" t="inlineStr">
        <is>
          <t>Wendy</t>
        </is>
      </c>
      <c r="T97" t="inlineStr">
        <is>
          <t>2024-04</t>
        </is>
      </c>
    </row>
    <row r="98">
      <c r="A98" s="16" t="n">
        <v>45688</v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B</t>
        </is>
      </c>
      <c r="G98" t="inlineStr">
        <is>
          <t>Wholesale</t>
        </is>
      </c>
      <c r="H98" t="n">
        <v>0.05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Cust 3916</t>
        </is>
      </c>
      <c r="P98" t="n">
        <v>27.48</v>
      </c>
      <c r="Q98" s="16" t="n">
        <v>45688</v>
      </c>
      <c r="R98" s="16" t="n">
        <v>45696</v>
      </c>
      <c r="S98" t="inlineStr">
        <is>
          <t>Cameron</t>
        </is>
      </c>
      <c r="T98" t="inlineStr">
        <is>
          <t>2025-01</t>
        </is>
      </c>
    </row>
    <row r="99">
      <c r="A99" s="16" t="n">
        <v>45730</v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C</t>
        </is>
      </c>
      <c r="G99" t="inlineStr">
        <is>
          <t>Retail</t>
        </is>
      </c>
      <c r="H99" t="n">
        <v>0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Cust 6329</t>
        </is>
      </c>
      <c r="P99" t="n">
        <v>44.61</v>
      </c>
      <c r="Q99" s="16" t="n">
        <v>45730</v>
      </c>
      <c r="R99" s="16" t="n">
        <v>45735</v>
      </c>
      <c r="S99" t="inlineStr">
        <is>
          <t>Cameron</t>
        </is>
      </c>
      <c r="T99" t="inlineStr">
        <is>
          <t>2025-03</t>
        </is>
      </c>
    </row>
    <row r="100">
      <c r="A100" s="16" t="n">
        <v>45438</v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D</t>
        </is>
      </c>
      <c r="G100" t="inlineStr">
        <is>
          <t>Wholesale</t>
        </is>
      </c>
      <c r="H100" t="n">
        <v>0.15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Cust 4384</t>
        </is>
      </c>
      <c r="P100" t="n">
        <v>43.46</v>
      </c>
      <c r="Q100" s="16" t="n">
        <v>45438</v>
      </c>
      <c r="R100" s="16" t="n">
        <v>45441</v>
      </c>
      <c r="S100" t="inlineStr">
        <is>
          <t>Wendy</t>
        </is>
      </c>
      <c r="T100" t="inlineStr">
        <is>
          <t>2024-05</t>
        </is>
      </c>
    </row>
    <row r="101">
      <c r="A101" s="16" t="n">
        <v>45129</v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A</t>
        </is>
      </c>
      <c r="G101" t="inlineStr">
        <is>
          <t>Retail</t>
        </is>
      </c>
      <c r="H101" t="n">
        <v>0.05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Cust 7756</t>
        </is>
      </c>
      <c r="P101" t="n">
        <v>17.88</v>
      </c>
      <c r="Q101" s="16" t="n">
        <v>45129</v>
      </c>
      <c r="R101" s="16" t="n">
        <v>45133</v>
      </c>
      <c r="S101" t="inlineStr">
        <is>
          <t>Ryan</t>
        </is>
      </c>
      <c r="T101" t="inlineStr">
        <is>
          <t>2023-07</t>
        </is>
      </c>
    </row>
    <row r="102">
      <c r="A102" s="16" t="n">
        <v>45372</v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D</t>
        </is>
      </c>
      <c r="G102" t="inlineStr">
        <is>
          <t>Retail</t>
        </is>
      </c>
      <c r="H102" t="n">
        <v>0.15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Cust 6086</t>
        </is>
      </c>
      <c r="P102" t="n">
        <v>48.03</v>
      </c>
      <c r="Q102" s="16" t="n">
        <v>45372</v>
      </c>
      <c r="R102" s="16" t="n">
        <v>45381</v>
      </c>
      <c r="S102" t="inlineStr">
        <is>
          <t>Ryan</t>
        </is>
      </c>
      <c r="T102" t="inlineStr">
        <is>
          <t>2024-03</t>
        </is>
      </c>
    </row>
    <row r="103">
      <c r="A103" s="16" t="n">
        <v>45021</v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B</t>
        </is>
      </c>
      <c r="G103" t="inlineStr">
        <is>
          <t>Wholesale</t>
        </is>
      </c>
      <c r="H103" t="n">
        <v>0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Cust 3845</t>
        </is>
      </c>
      <c r="P103" t="n">
        <v>32.31</v>
      </c>
      <c r="Q103" s="16" t="n">
        <v>45021</v>
      </c>
      <c r="R103" s="16" t="n">
        <v>45024</v>
      </c>
      <c r="S103" t="inlineStr">
        <is>
          <t>Wendy</t>
        </is>
      </c>
      <c r="T103" t="inlineStr">
        <is>
          <t>2023-04</t>
        </is>
      </c>
    </row>
    <row r="104">
      <c r="A104" s="16" t="n">
        <v>45530</v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C</t>
        </is>
      </c>
      <c r="G104" t="inlineStr">
        <is>
          <t>Wholesale</t>
        </is>
      </c>
      <c r="H104" t="n">
        <v>0.05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n">
        <v/>
      </c>
      <c r="M104" t="n">
        <v>0</v>
      </c>
      <c r="N104" t="inlineStr">
        <is>
          <t>REG100102</t>
        </is>
      </c>
      <c r="O104" t="inlineStr">
        <is>
          <t>Cust 9996</t>
        </is>
      </c>
      <c r="P104" t="n">
        <v>6.77</v>
      </c>
      <c r="Q104" s="16" t="n">
        <v>45530</v>
      </c>
      <c r="R104" s="16" t="n">
        <v>45536</v>
      </c>
      <c r="S104" t="inlineStr">
        <is>
          <t>Eric</t>
        </is>
      </c>
      <c r="T104" t="inlineStr">
        <is>
          <t>2024-08</t>
        </is>
      </c>
    </row>
    <row r="105">
      <c r="A105" s="16" t="n">
        <v>45480</v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D</t>
        </is>
      </c>
      <c r="G105" t="inlineStr">
        <is>
          <t>Retail</t>
        </is>
      </c>
      <c r="H105" t="n">
        <v>0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Cust 1711</t>
        </is>
      </c>
      <c r="P105" t="n">
        <v>28.97</v>
      </c>
      <c r="Q105" s="16" t="n">
        <v>45480</v>
      </c>
      <c r="R105" s="16" t="n">
        <v>45490</v>
      </c>
      <c r="S105" t="inlineStr">
        <is>
          <t>Ryan</t>
        </is>
      </c>
      <c r="T105" t="inlineStr">
        <is>
          <t>2024-07</t>
        </is>
      </c>
    </row>
    <row r="106">
      <c r="A106" s="16" t="n">
        <v>45198</v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D</t>
        </is>
      </c>
      <c r="G106" t="inlineStr">
        <is>
          <t>Retail</t>
        </is>
      </c>
      <c r="H106" t="n">
        <v>0.05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Cust 4522</t>
        </is>
      </c>
      <c r="P106" t="n">
        <v>47.05</v>
      </c>
      <c r="Q106" s="16" t="n">
        <v>45198</v>
      </c>
      <c r="R106" s="16" t="n">
        <v>45207</v>
      </c>
      <c r="S106" t="inlineStr">
        <is>
          <t>Eric</t>
        </is>
      </c>
      <c r="T106" t="inlineStr">
        <is>
          <t>2023-09</t>
        </is>
      </c>
    </row>
    <row r="107">
      <c r="A107" s="16" t="n">
        <v>45203</v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0.1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Cust 4233</t>
        </is>
      </c>
      <c r="P107" t="n">
        <v>26.64</v>
      </c>
      <c r="Q107" s="16" t="n">
        <v>45203</v>
      </c>
      <c r="R107" s="16" t="n">
        <v>45210</v>
      </c>
      <c r="S107" t="inlineStr">
        <is>
          <t>Wendy</t>
        </is>
      </c>
      <c r="T107" t="inlineStr">
        <is>
          <t>2023-10</t>
        </is>
      </c>
    </row>
    <row r="108">
      <c r="A108" s="16" t="n">
        <v>45817</v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B</t>
        </is>
      </c>
      <c r="G108" t="inlineStr">
        <is>
          <t>Wholesale</t>
        </is>
      </c>
      <c r="H108" t="n">
        <v>0.05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Cust 4121</t>
        </is>
      </c>
      <c r="P108" t="n">
        <v>28.05</v>
      </c>
      <c r="Q108" s="16" t="n">
        <v>45817</v>
      </c>
      <c r="R108" s="16" t="n">
        <v>45824</v>
      </c>
      <c r="S108" t="inlineStr">
        <is>
          <t>Cameron</t>
        </is>
      </c>
      <c r="T108" t="inlineStr">
        <is>
          <t>2025-06</t>
        </is>
      </c>
    </row>
    <row r="109">
      <c r="A109" s="16" t="n">
        <v>45820</v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A</t>
        </is>
      </c>
      <c r="G109" t="inlineStr">
        <is>
          <t>Wholesale</t>
        </is>
      </c>
      <c r="H109" t="n">
        <v>0.1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Cust 9092</t>
        </is>
      </c>
      <c r="P109" t="n">
        <v>26.99</v>
      </c>
      <c r="Q109" s="16" t="n">
        <v>45820</v>
      </c>
      <c r="R109" s="16" t="n">
        <v>45822</v>
      </c>
      <c r="S109" t="inlineStr">
        <is>
          <t>Eric</t>
        </is>
      </c>
      <c r="T109" t="inlineStr">
        <is>
          <t>2025-06</t>
        </is>
      </c>
    </row>
    <row r="110">
      <c r="A110" s="16" t="n">
        <v>45472</v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A</t>
        </is>
      </c>
      <c r="G110" t="inlineStr">
        <is>
          <t>Retail</t>
        </is>
      </c>
      <c r="H110" t="n">
        <v>0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n">
        <v/>
      </c>
      <c r="M110" t="n">
        <v>1</v>
      </c>
      <c r="N110" t="inlineStr">
        <is>
          <t>REG100108</t>
        </is>
      </c>
      <c r="O110" t="inlineStr">
        <is>
          <t>Cust 9090</t>
        </is>
      </c>
      <c r="P110" t="n">
        <v>21.08</v>
      </c>
      <c r="Q110" s="16" t="n">
        <v>45472</v>
      </c>
      <c r="R110" s="16" t="n">
        <v>45479</v>
      </c>
      <c r="S110" t="inlineStr">
        <is>
          <t>Eric</t>
        </is>
      </c>
      <c r="T110" t="inlineStr">
        <is>
          <t>2024-06</t>
        </is>
      </c>
    </row>
    <row r="111">
      <c r="A111" s="16" t="n">
        <v>45374</v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B</t>
        </is>
      </c>
      <c r="G111" t="inlineStr">
        <is>
          <t>Retail</t>
        </is>
      </c>
      <c r="H111" t="n">
        <v>0.15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n">
        <v/>
      </c>
      <c r="M111" t="n">
        <v>1</v>
      </c>
      <c r="N111" t="inlineStr">
        <is>
          <t>REG100109</t>
        </is>
      </c>
      <c r="O111" t="inlineStr">
        <is>
          <t>Cust 1983</t>
        </is>
      </c>
      <c r="P111" t="n">
        <v>49.6</v>
      </c>
      <c r="Q111" s="16" t="n">
        <v>45374</v>
      </c>
      <c r="R111" s="16" t="n">
        <v>45384</v>
      </c>
      <c r="S111" t="inlineStr">
        <is>
          <t>Ryan</t>
        </is>
      </c>
      <c r="T111" t="inlineStr">
        <is>
          <t>2024-03</t>
        </is>
      </c>
    </row>
    <row r="112">
      <c r="A112" s="16" t="n">
        <v>45487</v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B</t>
        </is>
      </c>
      <c r="G112" t="inlineStr">
        <is>
          <t>Wholesale</t>
        </is>
      </c>
      <c r="H112" t="n">
        <v>0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Cust 8834</t>
        </is>
      </c>
      <c r="P112" t="n">
        <v>41.4</v>
      </c>
      <c r="Q112" s="16" t="n">
        <v>45487</v>
      </c>
      <c r="R112" s="16" t="n">
        <v>45494</v>
      </c>
      <c r="S112" t="inlineStr">
        <is>
          <t>Sophie</t>
        </is>
      </c>
      <c r="T112" t="inlineStr">
        <is>
          <t>2024-07</t>
        </is>
      </c>
    </row>
    <row r="113">
      <c r="A113" s="16" t="n">
        <v>45366</v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A</t>
        </is>
      </c>
      <c r="G113" t="inlineStr">
        <is>
          <t>Wholesale</t>
        </is>
      </c>
      <c r="H113" t="n">
        <v>0.1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Cust 9780</t>
        </is>
      </c>
      <c r="P113" t="n">
        <v>8.02</v>
      </c>
      <c r="Q113" s="16" t="n">
        <v>45366</v>
      </c>
      <c r="R113" s="16" t="n">
        <v>45376</v>
      </c>
      <c r="S113" t="inlineStr">
        <is>
          <t>Sophie</t>
        </is>
      </c>
      <c r="T113" t="inlineStr">
        <is>
          <t>2024-03</t>
        </is>
      </c>
    </row>
    <row r="114">
      <c r="A114" s="16" t="n">
        <v>45766</v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n">
        <v/>
      </c>
      <c r="M114" t="n">
        <v>1</v>
      </c>
      <c r="N114" t="inlineStr">
        <is>
          <t>REG100112</t>
        </is>
      </c>
      <c r="O114" t="inlineStr">
        <is>
          <t>Cust 1293</t>
        </is>
      </c>
      <c r="P114" t="n">
        <v>43.69</v>
      </c>
      <c r="Q114" s="16" t="n">
        <v>45766</v>
      </c>
      <c r="R114" s="16" t="n">
        <v>45771</v>
      </c>
      <c r="S114" t="inlineStr">
        <is>
          <t>Cameron</t>
        </is>
      </c>
      <c r="T114" t="inlineStr">
        <is>
          <t>2025-04</t>
        </is>
      </c>
    </row>
    <row r="115">
      <c r="A115" s="16" t="n">
        <v>45337</v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Cust 3173</t>
        </is>
      </c>
      <c r="P115" t="n">
        <v>23.94</v>
      </c>
      <c r="Q115" s="16" t="n">
        <v>45337</v>
      </c>
      <c r="R115" s="16" t="n">
        <v>45342</v>
      </c>
      <c r="S115" t="inlineStr">
        <is>
          <t>Wendy</t>
        </is>
      </c>
      <c r="T115" t="inlineStr">
        <is>
          <t>2024-02</t>
        </is>
      </c>
    </row>
    <row r="116">
      <c r="A116" s="16" t="n">
        <v>45316</v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C</t>
        </is>
      </c>
      <c r="G116" t="inlineStr">
        <is>
          <t>Wholesale</t>
        </is>
      </c>
      <c r="H116" t="n">
        <v>0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Cust 8641</t>
        </is>
      </c>
      <c r="P116" t="n">
        <v>28.36</v>
      </c>
      <c r="Q116" s="16" t="n">
        <v>45316</v>
      </c>
      <c r="R116" s="16" t="n">
        <v>45326</v>
      </c>
      <c r="S116" t="inlineStr">
        <is>
          <t>Eric</t>
        </is>
      </c>
      <c r="T116" t="inlineStr">
        <is>
          <t>2024-01</t>
        </is>
      </c>
    </row>
    <row r="117">
      <c r="A117" s="16" t="n">
        <v>45762</v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D</t>
        </is>
      </c>
      <c r="G117" t="inlineStr">
        <is>
          <t>Wholesale</t>
        </is>
      </c>
      <c r="H117" t="n">
        <v>0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Cust 7656</t>
        </is>
      </c>
      <c r="P117" t="n">
        <v>38.23</v>
      </c>
      <c r="Q117" s="16" t="n">
        <v>45762</v>
      </c>
      <c r="R117" s="16" t="n">
        <v>45770</v>
      </c>
      <c r="S117" t="inlineStr">
        <is>
          <t>Cameron</t>
        </is>
      </c>
      <c r="T117" t="inlineStr">
        <is>
          <t>2025-04</t>
        </is>
      </c>
    </row>
    <row r="118">
      <c r="A118" s="16" t="n">
        <v>45762</v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0.1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Cust 5523</t>
        </is>
      </c>
      <c r="P118" t="n">
        <v>19.17</v>
      </c>
      <c r="Q118" s="16" t="n">
        <v>45762</v>
      </c>
      <c r="R118" s="16" t="n">
        <v>45767</v>
      </c>
      <c r="S118" t="inlineStr">
        <is>
          <t>Cameron</t>
        </is>
      </c>
      <c r="T118" t="inlineStr">
        <is>
          <t>2025-04</t>
        </is>
      </c>
    </row>
    <row r="119">
      <c r="A119" s="16" t="n">
        <v>45515</v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C</t>
        </is>
      </c>
      <c r="G119" t="inlineStr">
        <is>
          <t>Retail</t>
        </is>
      </c>
      <c r="H119" t="n">
        <v>0.05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Cust 2015</t>
        </is>
      </c>
      <c r="P119" t="n">
        <v>5.13</v>
      </c>
      <c r="Q119" s="16" t="n">
        <v>45515</v>
      </c>
      <c r="R119" s="16" t="n">
        <v>45517</v>
      </c>
      <c r="S119" t="inlineStr">
        <is>
          <t>Wendy</t>
        </is>
      </c>
      <c r="T119" t="inlineStr">
        <is>
          <t>2024-08</t>
        </is>
      </c>
    </row>
    <row r="120">
      <c r="A120" s="16" t="n">
        <v>45261</v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B</t>
        </is>
      </c>
      <c r="G120" t="inlineStr">
        <is>
          <t>Wholesale</t>
        </is>
      </c>
      <c r="H120" t="n">
        <v>0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Cust 6895</t>
        </is>
      </c>
      <c r="P120" t="n">
        <v>48.63</v>
      </c>
      <c r="Q120" s="16" t="n">
        <v>45261</v>
      </c>
      <c r="R120" s="16" t="n">
        <v>45268</v>
      </c>
      <c r="S120" t="inlineStr">
        <is>
          <t>Sophie</t>
        </is>
      </c>
      <c r="T120" t="inlineStr">
        <is>
          <t>2023-12</t>
        </is>
      </c>
    </row>
    <row r="121">
      <c r="A121" s="16" t="n">
        <v>45144</v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D</t>
        </is>
      </c>
      <c r="G121" t="inlineStr">
        <is>
          <t>Retail</t>
        </is>
      </c>
      <c r="H121" t="n">
        <v>0.05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Cust 1797</t>
        </is>
      </c>
      <c r="P121" t="n">
        <v>9.35</v>
      </c>
      <c r="Q121" s="16" t="n">
        <v>45144</v>
      </c>
      <c r="R121" s="16" t="n">
        <v>45149</v>
      </c>
      <c r="S121" t="inlineStr">
        <is>
          <t>Cameron</t>
        </is>
      </c>
      <c r="T121" t="inlineStr">
        <is>
          <t>2023-08</t>
        </is>
      </c>
    </row>
    <row r="122">
      <c r="A122" s="16" t="n">
        <v>45315</v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0.1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Cust 9969</t>
        </is>
      </c>
      <c r="P122" t="n">
        <v>13.73</v>
      </c>
      <c r="Q122" s="16" t="n">
        <v>45315</v>
      </c>
      <c r="R122" s="16" t="n">
        <v>45322</v>
      </c>
      <c r="S122" t="inlineStr">
        <is>
          <t>Cameron</t>
        </is>
      </c>
      <c r="T122" t="inlineStr">
        <is>
          <t>2024-01</t>
        </is>
      </c>
    </row>
    <row r="123">
      <c r="A123" s="16" t="n">
        <v>45358</v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D</t>
        </is>
      </c>
      <c r="G123" t="inlineStr">
        <is>
          <t>Retail</t>
        </is>
      </c>
      <c r="H123" t="n">
        <v>0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Cust 1815</t>
        </is>
      </c>
      <c r="P123" t="n">
        <v>14.04</v>
      </c>
      <c r="Q123" s="16" t="n">
        <v>45358</v>
      </c>
      <c r="R123" s="16" t="n">
        <v>45364</v>
      </c>
      <c r="S123" t="inlineStr">
        <is>
          <t>Cameron</t>
        </is>
      </c>
      <c r="T123" t="inlineStr">
        <is>
          <t>2024-03</t>
        </is>
      </c>
    </row>
    <row r="124">
      <c r="A124" s="16" t="n">
        <v>45313</v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0.1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Cust 7773</t>
        </is>
      </c>
      <c r="P124" t="n">
        <v>25.24</v>
      </c>
      <c r="Q124" s="16" t="n">
        <v>45313</v>
      </c>
      <c r="R124" s="16" t="n">
        <v>45319</v>
      </c>
      <c r="S124" t="inlineStr">
        <is>
          <t>Sophie</t>
        </is>
      </c>
      <c r="T124" t="inlineStr">
        <is>
          <t>2024-01</t>
        </is>
      </c>
    </row>
    <row r="125">
      <c r="A125" s="16" t="n">
        <v>44980</v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B</t>
        </is>
      </c>
      <c r="G125" t="inlineStr">
        <is>
          <t>Retail</t>
        </is>
      </c>
      <c r="H125" t="n">
        <v>0.15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Cust 1499</t>
        </is>
      </c>
      <c r="P125" t="n">
        <v>8.029999999999999</v>
      </c>
      <c r="Q125" s="16" t="n">
        <v>44980</v>
      </c>
      <c r="R125" s="16" t="n">
        <v>44984</v>
      </c>
      <c r="S125" t="inlineStr">
        <is>
          <t>Eric</t>
        </is>
      </c>
      <c r="T125" t="inlineStr">
        <is>
          <t>2023-02</t>
        </is>
      </c>
    </row>
    <row r="126">
      <c r="A126" s="16" t="n">
        <v>45091</v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B</t>
        </is>
      </c>
      <c r="G126" t="inlineStr">
        <is>
          <t>Retail</t>
        </is>
      </c>
      <c r="H126" t="n">
        <v>0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Cust 3809</t>
        </is>
      </c>
      <c r="P126" t="n">
        <v>35.23</v>
      </c>
      <c r="Q126" s="16" t="n">
        <v>45091</v>
      </c>
      <c r="R126" s="16" t="n">
        <v>45099</v>
      </c>
      <c r="S126" t="inlineStr">
        <is>
          <t>Ryan</t>
        </is>
      </c>
      <c r="T126" t="inlineStr">
        <is>
          <t>2023-06</t>
        </is>
      </c>
    </row>
    <row r="127">
      <c r="A127" s="16" t="n">
        <v>45790</v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0.05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Cust 7824</t>
        </is>
      </c>
      <c r="P127" t="n">
        <v>21.5</v>
      </c>
      <c r="Q127" s="16" t="n">
        <v>45790</v>
      </c>
      <c r="R127" s="16" t="n">
        <v>45792</v>
      </c>
      <c r="S127" t="inlineStr">
        <is>
          <t>Ryan</t>
        </is>
      </c>
      <c r="T127" t="inlineStr">
        <is>
          <t>2025-05</t>
        </is>
      </c>
    </row>
    <row r="128">
      <c r="A128" s="16" t="n">
        <v>45503</v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C</t>
        </is>
      </c>
      <c r="G128" t="inlineStr">
        <is>
          <t>Retail</t>
        </is>
      </c>
      <c r="H128" t="n">
        <v>0.15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Cust 7258</t>
        </is>
      </c>
      <c r="P128" t="n">
        <v>37.95</v>
      </c>
      <c r="Q128" s="16" t="n">
        <v>45503</v>
      </c>
      <c r="R128" s="16" t="n">
        <v>45510</v>
      </c>
      <c r="S128" t="inlineStr">
        <is>
          <t>Cameron</t>
        </is>
      </c>
      <c r="T128" t="inlineStr">
        <is>
          <t>2024-07</t>
        </is>
      </c>
    </row>
    <row r="129">
      <c r="A129" s="16" t="n">
        <v>45491</v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B</t>
        </is>
      </c>
      <c r="G129" t="inlineStr">
        <is>
          <t>Wholesale</t>
        </is>
      </c>
      <c r="H129" t="n">
        <v>0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Cust 1151</t>
        </is>
      </c>
      <c r="P129" t="n">
        <v>26.44</v>
      </c>
      <c r="Q129" s="16" t="n">
        <v>45491</v>
      </c>
      <c r="R129" s="16" t="n">
        <v>45500</v>
      </c>
      <c r="S129" t="inlineStr">
        <is>
          <t>Eric</t>
        </is>
      </c>
      <c r="T129" t="inlineStr">
        <is>
          <t>2024-07</t>
        </is>
      </c>
    </row>
    <row r="130">
      <c r="A130" s="16" t="n">
        <v>45530</v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0.15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Cust 6486</t>
        </is>
      </c>
      <c r="P130" t="n">
        <v>21.77</v>
      </c>
      <c r="Q130" s="16" t="n">
        <v>45530</v>
      </c>
      <c r="R130" s="16" t="n">
        <v>45536</v>
      </c>
      <c r="S130" t="inlineStr">
        <is>
          <t>Eric</t>
        </is>
      </c>
      <c r="T130" t="inlineStr">
        <is>
          <t>2024-08</t>
        </is>
      </c>
    </row>
    <row r="131">
      <c r="A131" s="16" t="n">
        <v>45816</v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0.05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Cust 4034</t>
        </is>
      </c>
      <c r="P131" t="n">
        <v>46.97</v>
      </c>
      <c r="Q131" s="16" t="n">
        <v>45816</v>
      </c>
      <c r="R131" s="16" t="n">
        <v>45823</v>
      </c>
      <c r="S131" t="inlineStr">
        <is>
          <t>Wendy</t>
        </is>
      </c>
      <c r="T131" t="inlineStr">
        <is>
          <t>2025-06</t>
        </is>
      </c>
    </row>
    <row r="132">
      <c r="A132" s="16" t="n">
        <v>45793</v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n">
        <v/>
      </c>
      <c r="M132" t="n">
        <v>1</v>
      </c>
      <c r="N132" t="inlineStr">
        <is>
          <t>REG100130</t>
        </is>
      </c>
      <c r="O132" t="inlineStr">
        <is>
          <t>Cust 9794</t>
        </is>
      </c>
      <c r="P132" t="n">
        <v>17.59</v>
      </c>
      <c r="Q132" s="16" t="n">
        <v>45793</v>
      </c>
      <c r="R132" s="16" t="n">
        <v>45800</v>
      </c>
      <c r="S132" t="inlineStr">
        <is>
          <t>Ryan</t>
        </is>
      </c>
      <c r="T132" t="inlineStr">
        <is>
          <t>2025-05</t>
        </is>
      </c>
    </row>
    <row r="133">
      <c r="A133" s="16" t="n">
        <v>45491</v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B</t>
        </is>
      </c>
      <c r="G133" t="inlineStr">
        <is>
          <t>Retail</t>
        </is>
      </c>
      <c r="H133" t="n">
        <v>0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Cust 2414</t>
        </is>
      </c>
      <c r="P133" t="n">
        <v>28.76</v>
      </c>
      <c r="Q133" s="16" t="n">
        <v>45491</v>
      </c>
      <c r="R133" s="16" t="n">
        <v>45497</v>
      </c>
      <c r="S133" t="inlineStr">
        <is>
          <t>Eric</t>
        </is>
      </c>
      <c r="T133" t="inlineStr">
        <is>
          <t>2024-07</t>
        </is>
      </c>
    </row>
    <row r="134">
      <c r="A134" s="16" t="n">
        <v>45186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0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Cust 9024</t>
        </is>
      </c>
      <c r="P134" t="n">
        <v>33.3</v>
      </c>
      <c r="Q134" s="16" t="n">
        <v>45186</v>
      </c>
      <c r="R134" s="16" t="n">
        <v>45195</v>
      </c>
      <c r="S134" t="inlineStr">
        <is>
          <t>Wendy</t>
        </is>
      </c>
      <c r="T134" t="inlineStr">
        <is>
          <t>2023-09</t>
        </is>
      </c>
    </row>
    <row r="135">
      <c r="A135" s="16" t="n">
        <v>44998</v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C</t>
        </is>
      </c>
      <c r="G135" t="inlineStr">
        <is>
          <t>Wholesale</t>
        </is>
      </c>
      <c r="H135" t="n">
        <v>0.05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Cust 2663</t>
        </is>
      </c>
      <c r="P135" t="n">
        <v>21.76</v>
      </c>
      <c r="Q135" s="16" t="n">
        <v>44998</v>
      </c>
      <c r="R135" s="16" t="n">
        <v>45004</v>
      </c>
      <c r="S135" t="inlineStr">
        <is>
          <t>Eric</t>
        </is>
      </c>
      <c r="T135" t="inlineStr">
        <is>
          <t>2023-03</t>
        </is>
      </c>
    </row>
    <row r="136">
      <c r="A136" s="16" t="n">
        <v>45014</v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D</t>
        </is>
      </c>
      <c r="G136" t="inlineStr">
        <is>
          <t>Wholesale</t>
        </is>
      </c>
      <c r="H136" t="n">
        <v>0.05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n">
        <v/>
      </c>
      <c r="M136" t="n">
        <v>0</v>
      </c>
      <c r="N136" t="inlineStr">
        <is>
          <t>REG100134</t>
        </is>
      </c>
      <c r="O136" t="inlineStr">
        <is>
          <t>Cust 2293</t>
        </is>
      </c>
      <c r="P136" t="n">
        <v>27.04</v>
      </c>
      <c r="Q136" s="16" t="n">
        <v>45014</v>
      </c>
      <c r="R136" s="16" t="n">
        <v>45019</v>
      </c>
      <c r="S136" t="inlineStr">
        <is>
          <t>Sophie</t>
        </is>
      </c>
      <c r="T136" t="inlineStr">
        <is>
          <t>2023-03</t>
        </is>
      </c>
    </row>
    <row r="137">
      <c r="A137" s="16" t="n">
        <v>45121</v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B</t>
        </is>
      </c>
      <c r="G137" t="inlineStr">
        <is>
          <t>Wholesale</t>
        </is>
      </c>
      <c r="H137" t="n">
        <v>0.05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Cust 8963</t>
        </is>
      </c>
      <c r="P137" t="n">
        <v>44.75</v>
      </c>
      <c r="Q137" s="16" t="n">
        <v>45121</v>
      </c>
      <c r="R137" s="16" t="n">
        <v>45130</v>
      </c>
      <c r="S137" t="inlineStr">
        <is>
          <t>Cameron</t>
        </is>
      </c>
      <c r="T137" t="inlineStr">
        <is>
          <t>2023-07</t>
        </is>
      </c>
    </row>
    <row r="138">
      <c r="A138" s="16" t="n">
        <v>45373</v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C</t>
        </is>
      </c>
      <c r="G138" t="inlineStr">
        <is>
          <t>Retail</t>
        </is>
      </c>
      <c r="H138" t="n">
        <v>0.05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Cust 9238</t>
        </is>
      </c>
      <c r="P138" t="n">
        <v>26.09</v>
      </c>
      <c r="Q138" s="16" t="n">
        <v>45373</v>
      </c>
      <c r="R138" s="16" t="n">
        <v>45382</v>
      </c>
      <c r="S138" t="inlineStr">
        <is>
          <t>Wendy</t>
        </is>
      </c>
      <c r="T138" t="inlineStr">
        <is>
          <t>2024-03</t>
        </is>
      </c>
    </row>
    <row r="139">
      <c r="A139" s="16" t="n">
        <v>45426</v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C</t>
        </is>
      </c>
      <c r="G139" t="inlineStr">
        <is>
          <t>Retail</t>
        </is>
      </c>
      <c r="H139" t="n">
        <v>0.1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n">
        <v/>
      </c>
      <c r="M139" t="n">
        <v>0</v>
      </c>
      <c r="N139" t="inlineStr">
        <is>
          <t>REG100137</t>
        </is>
      </c>
      <c r="O139" t="inlineStr">
        <is>
          <t>Cust 1390</t>
        </is>
      </c>
      <c r="P139" t="n">
        <v>35.39</v>
      </c>
      <c r="Q139" s="16" t="n">
        <v>45426</v>
      </c>
      <c r="R139" s="16" t="n">
        <v>45429</v>
      </c>
      <c r="S139" t="inlineStr">
        <is>
          <t>Cameron</t>
        </is>
      </c>
      <c r="T139" t="inlineStr">
        <is>
          <t>2024-05</t>
        </is>
      </c>
    </row>
    <row r="140">
      <c r="A140" s="16" t="n">
        <v>45076</v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A</t>
        </is>
      </c>
      <c r="G140" t="inlineStr">
        <is>
          <t>Wholesale</t>
        </is>
      </c>
      <c r="H140" t="n">
        <v>0.05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Cust 8548</t>
        </is>
      </c>
      <c r="P140" t="n">
        <v>19.42</v>
      </c>
      <c r="Q140" s="16" t="n">
        <v>45076</v>
      </c>
      <c r="R140" s="16" t="n">
        <v>45079</v>
      </c>
      <c r="S140" t="inlineStr">
        <is>
          <t>Cameron</t>
        </is>
      </c>
      <c r="T140" t="inlineStr">
        <is>
          <t>2023-05</t>
        </is>
      </c>
    </row>
    <row r="141">
      <c r="A141" s="16" t="n">
        <v>45004</v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C</t>
        </is>
      </c>
      <c r="G141" t="inlineStr">
        <is>
          <t>Wholesale</t>
        </is>
      </c>
      <c r="H141" t="n">
        <v>0.05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n">
        <v/>
      </c>
      <c r="M141" t="n">
        <v>0</v>
      </c>
      <c r="N141" t="inlineStr">
        <is>
          <t>REG100139</t>
        </is>
      </c>
      <c r="O141" t="inlineStr">
        <is>
          <t>Cust 2919</t>
        </is>
      </c>
      <c r="P141" t="n">
        <v>13.65</v>
      </c>
      <c r="Q141" s="16" t="n">
        <v>45004</v>
      </c>
      <c r="R141" s="16" t="n">
        <v>45007</v>
      </c>
      <c r="S141" t="inlineStr">
        <is>
          <t>Ryan</t>
        </is>
      </c>
      <c r="T141" t="inlineStr">
        <is>
          <t>2023-03</t>
        </is>
      </c>
    </row>
    <row r="142">
      <c r="A142" s="16" t="n">
        <v>45147</v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Cust 5847</t>
        </is>
      </c>
      <c r="P142" t="n">
        <v>10.14</v>
      </c>
      <c r="Q142" s="16" t="n">
        <v>45147</v>
      </c>
      <c r="R142" s="16" t="n">
        <v>45152</v>
      </c>
      <c r="S142" t="inlineStr">
        <is>
          <t>Cameron</t>
        </is>
      </c>
      <c r="T142" t="inlineStr">
        <is>
          <t>2023-08</t>
        </is>
      </c>
    </row>
    <row r="143">
      <c r="A143" s="16" t="n">
        <v>45578</v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0.15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Cust 5711</t>
        </is>
      </c>
      <c r="P143" t="n">
        <v>21.74</v>
      </c>
      <c r="Q143" s="16" t="n">
        <v>45578</v>
      </c>
      <c r="R143" s="16" t="n">
        <v>45585</v>
      </c>
      <c r="S143" t="inlineStr">
        <is>
          <t>Ryan</t>
        </is>
      </c>
      <c r="T143" t="inlineStr">
        <is>
          <t>2024-10</t>
        </is>
      </c>
    </row>
    <row r="144">
      <c r="A144" s="16" t="n">
        <v>45705</v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B</t>
        </is>
      </c>
      <c r="G144" t="inlineStr">
        <is>
          <t>Retail</t>
        </is>
      </c>
      <c r="H144" t="n">
        <v>0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Cust 5461</t>
        </is>
      </c>
      <c r="P144" t="n">
        <v>49.93</v>
      </c>
      <c r="Q144" s="16" t="n">
        <v>45705</v>
      </c>
      <c r="R144" s="16" t="n">
        <v>45713</v>
      </c>
      <c r="S144" t="inlineStr">
        <is>
          <t>Eric</t>
        </is>
      </c>
      <c r="T144" t="inlineStr">
        <is>
          <t>2025-02</t>
        </is>
      </c>
    </row>
    <row r="145">
      <c r="A145" s="16" t="n">
        <v>45819</v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C</t>
        </is>
      </c>
      <c r="G145" t="inlineStr">
        <is>
          <t>Retail</t>
        </is>
      </c>
      <c r="H145" t="n">
        <v>0.15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Cust 8905</t>
        </is>
      </c>
      <c r="P145" t="n">
        <v>20.3</v>
      </c>
      <c r="Q145" s="16" t="n">
        <v>45819</v>
      </c>
      <c r="R145" s="16" t="n">
        <v>45828</v>
      </c>
      <c r="S145" t="inlineStr">
        <is>
          <t>Ryan</t>
        </is>
      </c>
      <c r="T145" t="inlineStr">
        <is>
          <t>2025-06</t>
        </is>
      </c>
    </row>
    <row r="146">
      <c r="A146" s="16" t="n">
        <v>45411</v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Cust 9618</t>
        </is>
      </c>
      <c r="P146" t="n">
        <v>31.8</v>
      </c>
      <c r="Q146" s="16" t="n">
        <v>45411</v>
      </c>
      <c r="R146" s="16" t="n">
        <v>45413</v>
      </c>
      <c r="S146" t="inlineStr">
        <is>
          <t>Cameron</t>
        </is>
      </c>
      <c r="T146" t="inlineStr">
        <is>
          <t>2024-04</t>
        </is>
      </c>
    </row>
    <row r="147">
      <c r="A147" s="16" t="n">
        <v>45003</v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C</t>
        </is>
      </c>
      <c r="G147" t="inlineStr">
        <is>
          <t>Wholesale</t>
        </is>
      </c>
      <c r="H147" t="n">
        <v>0.15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Cust 5203</t>
        </is>
      </c>
      <c r="P147" t="n">
        <v>29.51</v>
      </c>
      <c r="Q147" s="16" t="n">
        <v>45003</v>
      </c>
      <c r="R147" s="16" t="n">
        <v>45005</v>
      </c>
      <c r="S147" t="inlineStr">
        <is>
          <t>Wendy</t>
        </is>
      </c>
      <c r="T147" t="inlineStr">
        <is>
          <t>2023-03</t>
        </is>
      </c>
    </row>
    <row r="148">
      <c r="A148" s="16" t="n">
        <v>45647</v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B</t>
        </is>
      </c>
      <c r="G148" t="inlineStr">
        <is>
          <t>Retail</t>
        </is>
      </c>
      <c r="H148" t="n">
        <v>0.1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n">
        <v/>
      </c>
      <c r="M148" t="n">
        <v>0</v>
      </c>
      <c r="N148" t="inlineStr">
        <is>
          <t>REG100146</t>
        </is>
      </c>
      <c r="O148" t="inlineStr">
        <is>
          <t>Cust 1732</t>
        </is>
      </c>
      <c r="P148" t="n">
        <v>31</v>
      </c>
      <c r="Q148" s="16" t="n">
        <v>45647</v>
      </c>
      <c r="R148" s="16" t="n">
        <v>45653</v>
      </c>
      <c r="S148" t="inlineStr">
        <is>
          <t>Ryan</t>
        </is>
      </c>
      <c r="T148" t="inlineStr">
        <is>
          <t>2024-12</t>
        </is>
      </c>
    </row>
    <row r="149">
      <c r="A149" s="16" t="n">
        <v>45039</v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0.1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Cust 4734</t>
        </is>
      </c>
      <c r="P149" t="n">
        <v>33.81</v>
      </c>
      <c r="Q149" s="16" t="n">
        <v>45039</v>
      </c>
      <c r="R149" s="16" t="n">
        <v>45048</v>
      </c>
      <c r="S149" t="inlineStr">
        <is>
          <t>Wendy</t>
        </is>
      </c>
      <c r="T149" t="inlineStr">
        <is>
          <t>2023-04</t>
        </is>
      </c>
    </row>
    <row r="150">
      <c r="A150" s="16" t="n">
        <v>45788</v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C</t>
        </is>
      </c>
      <c r="G150" t="inlineStr">
        <is>
          <t>Wholesale</t>
        </is>
      </c>
      <c r="H150" t="n">
        <v>0.05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Cust 5895</t>
        </is>
      </c>
      <c r="P150" t="n">
        <v>10.91</v>
      </c>
      <c r="Q150" s="16" t="n">
        <v>45788</v>
      </c>
      <c r="R150" s="16" t="n">
        <v>45798</v>
      </c>
      <c r="S150" t="inlineStr">
        <is>
          <t>Cameron</t>
        </is>
      </c>
      <c r="T150" t="inlineStr">
        <is>
          <t>2025-05</t>
        </is>
      </c>
    </row>
    <row r="151">
      <c r="A151" s="16" t="n">
        <v>45354</v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D</t>
        </is>
      </c>
      <c r="G151" t="inlineStr">
        <is>
          <t>Wholesale</t>
        </is>
      </c>
      <c r="H151" t="n">
        <v>0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n">
        <v/>
      </c>
      <c r="M151" t="n">
        <v>0</v>
      </c>
      <c r="N151" t="inlineStr">
        <is>
          <t>REG100149</t>
        </is>
      </c>
      <c r="O151" t="inlineStr">
        <is>
          <t>Cust 9691</t>
        </is>
      </c>
      <c r="P151" t="n">
        <v>47.94</v>
      </c>
      <c r="Q151" s="16" t="n">
        <v>45354</v>
      </c>
      <c r="R151" s="16" t="n">
        <v>45356</v>
      </c>
      <c r="S151" t="inlineStr">
        <is>
          <t>Sophie</t>
        </is>
      </c>
      <c r="T151" t="inlineStr">
        <is>
          <t>2024-03</t>
        </is>
      </c>
    </row>
    <row r="152">
      <c r="A152" s="16" t="n">
        <v>45677</v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0.15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Cust 5406</t>
        </is>
      </c>
      <c r="P152" t="n">
        <v>32.45</v>
      </c>
      <c r="Q152" s="16" t="n">
        <v>45677</v>
      </c>
      <c r="R152" s="16" t="n">
        <v>45687</v>
      </c>
      <c r="S152" t="inlineStr">
        <is>
          <t>Ryan</t>
        </is>
      </c>
      <c r="T152" t="inlineStr">
        <is>
          <t>2025-01</t>
        </is>
      </c>
    </row>
    <row r="153">
      <c r="A153" s="16" t="n">
        <v>45738</v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0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Cust 5750</t>
        </is>
      </c>
      <c r="P153" t="n">
        <v>10.88</v>
      </c>
      <c r="Q153" s="16" t="n">
        <v>45738</v>
      </c>
      <c r="R153" s="16" t="n">
        <v>45746</v>
      </c>
      <c r="S153" t="inlineStr">
        <is>
          <t>Ryan</t>
        </is>
      </c>
      <c r="T153" t="inlineStr">
        <is>
          <t>2025-03</t>
        </is>
      </c>
    </row>
    <row r="154">
      <c r="A154" s="16" t="n">
        <v>45744</v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D</t>
        </is>
      </c>
      <c r="G154" t="inlineStr">
        <is>
          <t>Retail</t>
        </is>
      </c>
      <c r="H154" t="n">
        <v>0.15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Cust 6506</t>
        </is>
      </c>
      <c r="P154" t="n">
        <v>47.39</v>
      </c>
      <c r="Q154" s="16" t="n">
        <v>45744</v>
      </c>
      <c r="R154" s="16" t="n">
        <v>45746</v>
      </c>
      <c r="S154" t="inlineStr">
        <is>
          <t>Sophie</t>
        </is>
      </c>
      <c r="T154" t="inlineStr">
        <is>
          <t>2025-03</t>
        </is>
      </c>
    </row>
    <row r="155">
      <c r="A155" s="16" t="n">
        <v>45705</v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C</t>
        </is>
      </c>
      <c r="G155" t="inlineStr">
        <is>
          <t>Wholesale</t>
        </is>
      </c>
      <c r="H155" t="n">
        <v>0.05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Cust 8280</t>
        </is>
      </c>
      <c r="P155" t="n">
        <v>17.61</v>
      </c>
      <c r="Q155" s="16" t="n">
        <v>45705</v>
      </c>
      <c r="R155" s="16" t="n">
        <v>45709</v>
      </c>
      <c r="S155" t="inlineStr">
        <is>
          <t>Ryan</t>
        </is>
      </c>
      <c r="T155" t="inlineStr">
        <is>
          <t>2025-02</t>
        </is>
      </c>
    </row>
    <row r="156">
      <c r="A156" s="16" t="n">
        <v>45604</v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A</t>
        </is>
      </c>
      <c r="G156" t="inlineStr">
        <is>
          <t>Wholesale</t>
        </is>
      </c>
      <c r="H156" t="n">
        <v>0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Cust 4358</t>
        </is>
      </c>
      <c r="P156" t="n">
        <v>26.32</v>
      </c>
      <c r="Q156" s="16" t="n">
        <v>45604</v>
      </c>
      <c r="R156" s="16" t="n">
        <v>45607</v>
      </c>
      <c r="S156" t="inlineStr">
        <is>
          <t>Sophie</t>
        </is>
      </c>
      <c r="T156" t="inlineStr">
        <is>
          <t>2024-11</t>
        </is>
      </c>
    </row>
    <row r="157">
      <c r="A157" s="16" t="n">
        <v>45368</v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0.05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Cust 3588</t>
        </is>
      </c>
      <c r="P157" t="n">
        <v>6.04</v>
      </c>
      <c r="Q157" s="16" t="n">
        <v>45368</v>
      </c>
      <c r="R157" s="16" t="n">
        <v>45372</v>
      </c>
      <c r="S157" t="inlineStr">
        <is>
          <t>Sophie</t>
        </is>
      </c>
      <c r="T157" t="inlineStr">
        <is>
          <t>2024-03</t>
        </is>
      </c>
    </row>
    <row r="158">
      <c r="A158" s="16" t="n">
        <v>45167</v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C</t>
        </is>
      </c>
      <c r="G158" t="inlineStr">
        <is>
          <t>Retail</t>
        </is>
      </c>
      <c r="H158" t="n">
        <v>0.1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Cust 4539</t>
        </is>
      </c>
      <c r="P158" t="n">
        <v>48.66</v>
      </c>
      <c r="Q158" s="16" t="n">
        <v>45167</v>
      </c>
      <c r="R158" s="16" t="n">
        <v>45170</v>
      </c>
      <c r="S158" t="inlineStr">
        <is>
          <t>Sophie</t>
        </is>
      </c>
      <c r="T158" t="inlineStr">
        <is>
          <t>2023-08</t>
        </is>
      </c>
    </row>
    <row r="159">
      <c r="A159" s="16" t="n">
        <v>45099</v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A</t>
        </is>
      </c>
      <c r="G159" t="inlineStr">
        <is>
          <t>Retail</t>
        </is>
      </c>
      <c r="H159" t="n">
        <v>0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n">
        <v/>
      </c>
      <c r="M159" t="n">
        <v>0</v>
      </c>
      <c r="N159" t="inlineStr">
        <is>
          <t>REG100157</t>
        </is>
      </c>
      <c r="O159" t="inlineStr">
        <is>
          <t>Cust 7067</t>
        </is>
      </c>
      <c r="P159" t="n">
        <v>39.98</v>
      </c>
      <c r="Q159" s="16" t="n">
        <v>45099</v>
      </c>
      <c r="R159" s="16" t="n">
        <v>45107</v>
      </c>
      <c r="S159" t="inlineStr">
        <is>
          <t>Sophie</t>
        </is>
      </c>
      <c r="T159" t="inlineStr">
        <is>
          <t>2023-06</t>
        </is>
      </c>
    </row>
    <row r="160">
      <c r="A160" s="16" t="n">
        <v>45346</v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C</t>
        </is>
      </c>
      <c r="G160" t="inlineStr">
        <is>
          <t>Retail</t>
        </is>
      </c>
      <c r="H160" t="n">
        <v>0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Cust 7720</t>
        </is>
      </c>
      <c r="P160" t="n">
        <v>31.65</v>
      </c>
      <c r="Q160" s="16" t="n">
        <v>45346</v>
      </c>
      <c r="R160" s="16" t="n">
        <v>45352</v>
      </c>
      <c r="S160" t="inlineStr">
        <is>
          <t>Sophie</t>
        </is>
      </c>
      <c r="T160" t="inlineStr">
        <is>
          <t>2024-02</t>
        </is>
      </c>
    </row>
    <row r="161">
      <c r="A161" s="16" t="n">
        <v>45392</v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Cust 5668</t>
        </is>
      </c>
      <c r="P161" t="n">
        <v>46.91</v>
      </c>
      <c r="Q161" s="16" t="n">
        <v>45392</v>
      </c>
      <c r="R161" s="16" t="n">
        <v>45397</v>
      </c>
      <c r="S161" t="inlineStr">
        <is>
          <t>Ryan</t>
        </is>
      </c>
      <c r="T161" t="inlineStr">
        <is>
          <t>2024-04</t>
        </is>
      </c>
    </row>
    <row r="162">
      <c r="A162" s="16" t="n">
        <v>45060</v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0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Cust 8367</t>
        </is>
      </c>
      <c r="P162" t="n">
        <v>7.66</v>
      </c>
      <c r="Q162" s="16" t="n">
        <v>45060</v>
      </c>
      <c r="R162" s="16" t="n">
        <v>45065</v>
      </c>
      <c r="S162" t="inlineStr">
        <is>
          <t>Sophie</t>
        </is>
      </c>
      <c r="T162" t="inlineStr">
        <is>
          <t>2023-05</t>
        </is>
      </c>
    </row>
    <row r="163">
      <c r="A163" s="16" t="n">
        <v>44996</v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B</t>
        </is>
      </c>
      <c r="G163" t="inlineStr">
        <is>
          <t>Wholesale</t>
        </is>
      </c>
      <c r="H163" t="n">
        <v>0.15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Cust 4438</t>
        </is>
      </c>
      <c r="P163" t="n">
        <v>11</v>
      </c>
      <c r="Q163" s="16" t="n">
        <v>44996</v>
      </c>
      <c r="R163" s="16" t="n">
        <v>45003</v>
      </c>
      <c r="S163" t="inlineStr">
        <is>
          <t>Sophie</t>
        </is>
      </c>
      <c r="T163" t="inlineStr">
        <is>
          <t>2023-03</t>
        </is>
      </c>
    </row>
    <row r="164">
      <c r="A164" s="16" t="n">
        <v>45528</v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D</t>
        </is>
      </c>
      <c r="G164" t="inlineStr">
        <is>
          <t>Retail</t>
        </is>
      </c>
      <c r="H164" t="n">
        <v>0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n">
        <v/>
      </c>
      <c r="M164" t="n">
        <v>1</v>
      </c>
      <c r="N164" t="inlineStr">
        <is>
          <t>REG100162</t>
        </is>
      </c>
      <c r="O164" t="inlineStr">
        <is>
          <t>Cust 3481</t>
        </is>
      </c>
      <c r="P164" t="n">
        <v>8.66</v>
      </c>
      <c r="Q164" s="16" t="n">
        <v>45528</v>
      </c>
      <c r="R164" s="16" t="n">
        <v>45530</v>
      </c>
      <c r="S164" t="inlineStr">
        <is>
          <t>Cameron</t>
        </is>
      </c>
      <c r="T164" t="inlineStr">
        <is>
          <t>2024-08</t>
        </is>
      </c>
    </row>
    <row r="165">
      <c r="A165" s="16" t="n">
        <v>45345</v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D</t>
        </is>
      </c>
      <c r="G165" t="inlineStr">
        <is>
          <t>Retail</t>
        </is>
      </c>
      <c r="H165" t="n">
        <v>0.15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Cust 1489</t>
        </is>
      </c>
      <c r="P165" t="n">
        <v>8.42</v>
      </c>
      <c r="Q165" s="16" t="n">
        <v>45345</v>
      </c>
      <c r="R165" s="16" t="n">
        <v>45352</v>
      </c>
      <c r="S165" t="inlineStr">
        <is>
          <t>Sophie</t>
        </is>
      </c>
      <c r="T165" t="inlineStr">
        <is>
          <t>2024-02</t>
        </is>
      </c>
    </row>
    <row r="166">
      <c r="A166" s="16" t="n">
        <v>45321</v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A</t>
        </is>
      </c>
      <c r="G166" t="inlineStr">
        <is>
          <t>Retail</t>
        </is>
      </c>
      <c r="H166" t="n">
        <v>0.05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Cust 6649</t>
        </is>
      </c>
      <c r="P166" t="n">
        <v>39.32</v>
      </c>
      <c r="Q166" s="16" t="n">
        <v>45321</v>
      </c>
      <c r="R166" s="16" t="n">
        <v>45328</v>
      </c>
      <c r="S166" t="inlineStr">
        <is>
          <t>Ryan</t>
        </is>
      </c>
      <c r="T166" t="inlineStr">
        <is>
          <t>2024-01</t>
        </is>
      </c>
    </row>
    <row r="167">
      <c r="A167" s="16" t="n">
        <v>45314</v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C</t>
        </is>
      </c>
      <c r="G167" t="inlineStr">
        <is>
          <t>Wholesale</t>
        </is>
      </c>
      <c r="H167" t="n">
        <v>0.1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Cust 6114</t>
        </is>
      </c>
      <c r="P167" t="n">
        <v>42.61</v>
      </c>
      <c r="Q167" s="16" t="n">
        <v>45314</v>
      </c>
      <c r="R167" s="16" t="n">
        <v>45320</v>
      </c>
      <c r="S167" t="inlineStr">
        <is>
          <t>Eric</t>
        </is>
      </c>
      <c r="T167" t="inlineStr">
        <is>
          <t>2024-01</t>
        </is>
      </c>
    </row>
    <row r="168">
      <c r="A168" s="16" t="n">
        <v>44931</v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Cust 9589</t>
        </is>
      </c>
      <c r="P168" t="n">
        <v>49.38</v>
      </c>
      <c r="Q168" s="16" t="n">
        <v>44931</v>
      </c>
      <c r="R168" s="16" t="n">
        <v>44934</v>
      </c>
      <c r="S168" t="inlineStr">
        <is>
          <t>Ryan</t>
        </is>
      </c>
      <c r="T168" t="inlineStr">
        <is>
          <t>2023-01</t>
        </is>
      </c>
    </row>
    <row r="169">
      <c r="A169" s="16" t="n">
        <v>45281</v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D</t>
        </is>
      </c>
      <c r="G169" t="inlineStr">
        <is>
          <t>Wholesale</t>
        </is>
      </c>
      <c r="H169" t="n">
        <v>0.05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n">
        <v/>
      </c>
      <c r="M169" t="n">
        <v>0</v>
      </c>
      <c r="N169" t="inlineStr">
        <is>
          <t>REG100167</t>
        </is>
      </c>
      <c r="O169" t="inlineStr">
        <is>
          <t>Cust 8184</t>
        </is>
      </c>
      <c r="P169" t="n">
        <v>5.36</v>
      </c>
      <c r="Q169" s="16" t="n">
        <v>45281</v>
      </c>
      <c r="R169" s="16" t="n">
        <v>45290</v>
      </c>
      <c r="S169" t="inlineStr">
        <is>
          <t>Ryan</t>
        </is>
      </c>
      <c r="T169" t="inlineStr">
        <is>
          <t>2023-12</t>
        </is>
      </c>
    </row>
    <row r="170">
      <c r="A170" s="16" t="n">
        <v>45071</v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C</t>
        </is>
      </c>
      <c r="G170" t="inlineStr">
        <is>
          <t>Wholesale</t>
        </is>
      </c>
      <c r="H170" t="n">
        <v>0.05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Cust 2490</t>
        </is>
      </c>
      <c r="P170" t="n">
        <v>28.77</v>
      </c>
      <c r="Q170" s="16" t="n">
        <v>45071</v>
      </c>
      <c r="R170" s="16" t="n">
        <v>45079</v>
      </c>
      <c r="S170" t="inlineStr">
        <is>
          <t>Wendy</t>
        </is>
      </c>
      <c r="T170" t="inlineStr">
        <is>
          <t>2023-05</t>
        </is>
      </c>
    </row>
    <row r="171">
      <c r="A171" s="16" t="n">
        <v>45838</v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0.15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Cust 1647</t>
        </is>
      </c>
      <c r="P171" t="n">
        <v>18.72</v>
      </c>
      <c r="Q171" s="16" t="n">
        <v>45838</v>
      </c>
      <c r="R171" s="16" t="n">
        <v>45846</v>
      </c>
      <c r="S171" t="inlineStr">
        <is>
          <t>Cameron</t>
        </is>
      </c>
      <c r="T171" t="inlineStr">
        <is>
          <t>2025-06</t>
        </is>
      </c>
    </row>
    <row r="172">
      <c r="A172" s="16" t="n">
        <v>45700</v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B</t>
        </is>
      </c>
      <c r="G172" t="inlineStr">
        <is>
          <t>Retail</t>
        </is>
      </c>
      <c r="H172" t="n">
        <v>0.05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Cust 2017</t>
        </is>
      </c>
      <c r="P172" t="n">
        <v>7.79</v>
      </c>
      <c r="Q172" s="16" t="n">
        <v>45700</v>
      </c>
      <c r="R172" s="16" t="n">
        <v>45707</v>
      </c>
      <c r="S172" t="inlineStr">
        <is>
          <t>Wendy</t>
        </is>
      </c>
      <c r="T172" t="inlineStr">
        <is>
          <t>2025-02</t>
        </is>
      </c>
    </row>
    <row r="173">
      <c r="A173" s="16" t="n">
        <v>45294</v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B</t>
        </is>
      </c>
      <c r="G173" t="inlineStr">
        <is>
          <t>Wholesale</t>
        </is>
      </c>
      <c r="H173" t="n">
        <v>0.1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n">
        <v/>
      </c>
      <c r="M173" t="n">
        <v>1</v>
      </c>
      <c r="N173" t="inlineStr">
        <is>
          <t>REG100171</t>
        </is>
      </c>
      <c r="O173" t="inlineStr">
        <is>
          <t>Cust 3446</t>
        </is>
      </c>
      <c r="P173" t="n">
        <v>38.9</v>
      </c>
      <c r="Q173" s="16" t="n">
        <v>45294</v>
      </c>
      <c r="R173" s="16" t="n">
        <v>45298</v>
      </c>
      <c r="S173" t="inlineStr">
        <is>
          <t>Wendy</t>
        </is>
      </c>
      <c r="T173" t="inlineStr">
        <is>
          <t>2024-01</t>
        </is>
      </c>
    </row>
    <row r="174">
      <c r="A174" s="16" t="n">
        <v>44960</v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C</t>
        </is>
      </c>
      <c r="G174" t="inlineStr">
        <is>
          <t>Wholesale</t>
        </is>
      </c>
      <c r="H174" t="n">
        <v>0.1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Cust 4877</t>
        </is>
      </c>
      <c r="P174" t="n">
        <v>47.39</v>
      </c>
      <c r="Q174" s="16" t="n">
        <v>44960</v>
      </c>
      <c r="R174" s="16" t="n">
        <v>44970</v>
      </c>
      <c r="S174" t="inlineStr">
        <is>
          <t>Sophie</t>
        </is>
      </c>
      <c r="T174" t="inlineStr">
        <is>
          <t>2023-02</t>
        </is>
      </c>
    </row>
    <row r="175">
      <c r="A175" s="16" t="n">
        <v>45352</v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0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Cust 9112</t>
        </is>
      </c>
      <c r="P175" t="n">
        <v>7.13</v>
      </c>
      <c r="Q175" s="16" t="n">
        <v>45352</v>
      </c>
      <c r="R175" s="16" t="n">
        <v>45359</v>
      </c>
      <c r="S175" t="inlineStr">
        <is>
          <t>Eric</t>
        </is>
      </c>
      <c r="T175" t="inlineStr">
        <is>
          <t>2024-03</t>
        </is>
      </c>
    </row>
    <row r="176">
      <c r="A176" s="16" t="n">
        <v>45070</v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0.05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n">
        <v/>
      </c>
      <c r="M176" t="n">
        <v>0</v>
      </c>
      <c r="N176" t="inlineStr">
        <is>
          <t>REG100174</t>
        </is>
      </c>
      <c r="O176" t="inlineStr">
        <is>
          <t>Cust 8172</t>
        </is>
      </c>
      <c r="P176" t="n">
        <v>5.7</v>
      </c>
      <c r="Q176" s="16" t="n">
        <v>45070</v>
      </c>
      <c r="R176" s="16" t="n">
        <v>45079</v>
      </c>
      <c r="S176" t="inlineStr">
        <is>
          <t>Ryan</t>
        </is>
      </c>
      <c r="T176" t="inlineStr">
        <is>
          <t>2023-05</t>
        </is>
      </c>
    </row>
    <row r="177">
      <c r="A177" s="16" t="n">
        <v>45830</v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D</t>
        </is>
      </c>
      <c r="G177" t="inlineStr">
        <is>
          <t>Retail</t>
        </is>
      </c>
      <c r="H177" t="n">
        <v>0.05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Cust 4597</t>
        </is>
      </c>
      <c r="P177" t="n">
        <v>21.32</v>
      </c>
      <c r="Q177" s="16" t="n">
        <v>45830</v>
      </c>
      <c r="R177" s="16" t="n">
        <v>45836</v>
      </c>
      <c r="S177" t="inlineStr">
        <is>
          <t>Ryan</t>
        </is>
      </c>
      <c r="T177" t="inlineStr">
        <is>
          <t>2025-06</t>
        </is>
      </c>
    </row>
    <row r="178">
      <c r="A178" s="16" t="n">
        <v>45026</v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B</t>
        </is>
      </c>
      <c r="G178" t="inlineStr">
        <is>
          <t>Retail</t>
        </is>
      </c>
      <c r="H178" t="n">
        <v>0.05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n">
        <v/>
      </c>
      <c r="M178" t="n">
        <v>1</v>
      </c>
      <c r="N178" t="inlineStr">
        <is>
          <t>REG100176</t>
        </is>
      </c>
      <c r="O178" t="inlineStr">
        <is>
          <t>Cust 3690</t>
        </is>
      </c>
      <c r="P178" t="n">
        <v>44.2</v>
      </c>
      <c r="Q178" s="16" t="n">
        <v>45026</v>
      </c>
      <c r="R178" s="16" t="n">
        <v>45030</v>
      </c>
      <c r="S178" t="inlineStr">
        <is>
          <t>Ryan</t>
        </is>
      </c>
      <c r="T178" t="inlineStr">
        <is>
          <t>2023-04</t>
        </is>
      </c>
    </row>
    <row r="179">
      <c r="A179" s="16" t="n">
        <v>45720</v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B</t>
        </is>
      </c>
      <c r="G179" t="inlineStr">
        <is>
          <t>Retail</t>
        </is>
      </c>
      <c r="H179" t="n">
        <v>0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Cust 2893</t>
        </is>
      </c>
      <c r="P179" t="n">
        <v>10.68</v>
      </c>
      <c r="Q179" s="16" t="n">
        <v>45720</v>
      </c>
      <c r="R179" s="16" t="n">
        <v>45726</v>
      </c>
      <c r="S179" t="inlineStr">
        <is>
          <t>Cameron</t>
        </is>
      </c>
      <c r="T179" t="inlineStr">
        <is>
          <t>2025-03</t>
        </is>
      </c>
    </row>
    <row r="180">
      <c r="A180" s="16" t="n">
        <v>45484</v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C</t>
        </is>
      </c>
      <c r="G180" t="inlineStr">
        <is>
          <t>Retail</t>
        </is>
      </c>
      <c r="H180" t="n">
        <v>0.1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n">
        <v/>
      </c>
      <c r="M180" t="n">
        <v>1</v>
      </c>
      <c r="N180" t="inlineStr">
        <is>
          <t>REG100178</t>
        </is>
      </c>
      <c r="O180" t="inlineStr">
        <is>
          <t>Cust 5602</t>
        </is>
      </c>
      <c r="P180" t="n">
        <v>23.69</v>
      </c>
      <c r="Q180" s="16" t="n">
        <v>45484</v>
      </c>
      <c r="R180" s="16" t="n">
        <v>45493</v>
      </c>
      <c r="S180" t="inlineStr">
        <is>
          <t>Eric</t>
        </is>
      </c>
      <c r="T180" t="inlineStr">
        <is>
          <t>2024-07</t>
        </is>
      </c>
    </row>
    <row r="181">
      <c r="A181" s="16" t="n">
        <v>45521</v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0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n">
        <v/>
      </c>
      <c r="M181" t="n">
        <v>0</v>
      </c>
      <c r="N181" t="inlineStr">
        <is>
          <t>REG100179</t>
        </is>
      </c>
      <c r="O181" t="inlineStr">
        <is>
          <t>Cust 5616</t>
        </is>
      </c>
      <c r="P181" t="n">
        <v>24.51</v>
      </c>
      <c r="Q181" s="16" t="n">
        <v>45521</v>
      </c>
      <c r="R181" s="16" t="n">
        <v>45524</v>
      </c>
      <c r="S181" t="inlineStr">
        <is>
          <t>Eric</t>
        </is>
      </c>
      <c r="T181" t="inlineStr">
        <is>
          <t>2024-08</t>
        </is>
      </c>
    </row>
    <row r="182">
      <c r="A182" s="16" t="n">
        <v>45838</v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D</t>
        </is>
      </c>
      <c r="G182" t="inlineStr">
        <is>
          <t>Wholesale</t>
        </is>
      </c>
      <c r="H182" t="n">
        <v>0.1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Cust 1312</t>
        </is>
      </c>
      <c r="P182" t="n">
        <v>41.88</v>
      </c>
      <c r="Q182" s="16" t="n">
        <v>45838</v>
      </c>
      <c r="R182" s="16" t="n">
        <v>45847</v>
      </c>
      <c r="S182" t="inlineStr">
        <is>
          <t>Ryan</t>
        </is>
      </c>
      <c r="T182" t="inlineStr">
        <is>
          <t>2025-06</t>
        </is>
      </c>
    </row>
    <row r="183">
      <c r="A183" s="16" t="n">
        <v>45602</v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C</t>
        </is>
      </c>
      <c r="G183" t="inlineStr">
        <is>
          <t>Wholesale</t>
        </is>
      </c>
      <c r="H183" t="n">
        <v>0.1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Cust 6315</t>
        </is>
      </c>
      <c r="P183" t="n">
        <v>37.49</v>
      </c>
      <c r="Q183" s="16" t="n">
        <v>45602</v>
      </c>
      <c r="R183" s="16" t="n">
        <v>45609</v>
      </c>
      <c r="S183" t="inlineStr">
        <is>
          <t>Sophie</t>
        </is>
      </c>
      <c r="T183" t="inlineStr">
        <is>
          <t>2024-11</t>
        </is>
      </c>
    </row>
    <row r="184">
      <c r="A184" s="16" t="n">
        <v>45748</v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0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Cust 1224</t>
        </is>
      </c>
      <c r="P184" t="n">
        <v>29.56</v>
      </c>
      <c r="Q184" s="16" t="n">
        <v>45748</v>
      </c>
      <c r="R184" s="16" t="n">
        <v>45751</v>
      </c>
      <c r="S184" t="inlineStr">
        <is>
          <t>Eric</t>
        </is>
      </c>
      <c r="T184" t="inlineStr">
        <is>
          <t>2025-04</t>
        </is>
      </c>
    </row>
    <row r="185">
      <c r="A185" s="16" t="n">
        <v>45474</v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C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Cust 7182</t>
        </is>
      </c>
      <c r="P185" t="n">
        <v>5.7</v>
      </c>
      <c r="Q185" s="16" t="n">
        <v>45474</v>
      </c>
      <c r="R185" s="16" t="n">
        <v>45479</v>
      </c>
      <c r="S185" t="inlineStr">
        <is>
          <t>Wendy</t>
        </is>
      </c>
      <c r="T185" t="inlineStr">
        <is>
          <t>2024-07</t>
        </is>
      </c>
    </row>
    <row r="186">
      <c r="A186" s="16" t="n">
        <v>45269</v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D</t>
        </is>
      </c>
      <c r="G186" t="inlineStr">
        <is>
          <t>Retail</t>
        </is>
      </c>
      <c r="H186" t="n">
        <v>0.05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Cust 7901</t>
        </is>
      </c>
      <c r="P186" t="n">
        <v>23.42</v>
      </c>
      <c r="Q186" s="16" t="n">
        <v>45269</v>
      </c>
      <c r="R186" s="16" t="n">
        <v>45278</v>
      </c>
      <c r="S186" t="inlineStr">
        <is>
          <t>Wendy</t>
        </is>
      </c>
      <c r="T186" t="inlineStr">
        <is>
          <t>2023-12</t>
        </is>
      </c>
    </row>
    <row r="187">
      <c r="A187" s="16" t="n">
        <v>45104</v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B</t>
        </is>
      </c>
      <c r="G187" t="inlineStr">
        <is>
          <t>Retail</t>
        </is>
      </c>
      <c r="H187" t="n">
        <v>0.1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Cust 1736</t>
        </is>
      </c>
      <c r="P187" t="n">
        <v>35.63</v>
      </c>
      <c r="Q187" s="16" t="n">
        <v>45104</v>
      </c>
      <c r="R187" s="16" t="n">
        <v>45107</v>
      </c>
      <c r="S187" t="inlineStr">
        <is>
          <t>Ryan</t>
        </is>
      </c>
      <c r="T187" t="inlineStr">
        <is>
          <t>2023-06</t>
        </is>
      </c>
    </row>
    <row r="188">
      <c r="A188" s="16" t="n">
        <v>45121</v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D</t>
        </is>
      </c>
      <c r="G188" t="inlineStr">
        <is>
          <t>Retail</t>
        </is>
      </c>
      <c r="H188" t="n">
        <v>0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Cust 7795</t>
        </is>
      </c>
      <c r="P188" t="n">
        <v>39.74</v>
      </c>
      <c r="Q188" s="16" t="n">
        <v>45121</v>
      </c>
      <c r="R188" s="16" t="n">
        <v>45124</v>
      </c>
      <c r="S188" t="inlineStr">
        <is>
          <t>Sophie</t>
        </is>
      </c>
      <c r="T188" t="inlineStr">
        <is>
          <t>2023-07</t>
        </is>
      </c>
    </row>
    <row r="189">
      <c r="A189" s="16" t="n">
        <v>44965</v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C</t>
        </is>
      </c>
      <c r="G189" t="inlineStr">
        <is>
          <t>Wholesale</t>
        </is>
      </c>
      <c r="H189" t="n">
        <v>0.15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Cust 2471</t>
        </is>
      </c>
      <c r="P189" t="n">
        <v>13.63</v>
      </c>
      <c r="Q189" s="16" t="n">
        <v>44965</v>
      </c>
      <c r="R189" s="16" t="n">
        <v>44973</v>
      </c>
      <c r="S189" t="inlineStr">
        <is>
          <t>Sophie</t>
        </is>
      </c>
      <c r="T189" t="inlineStr">
        <is>
          <t>2023-02</t>
        </is>
      </c>
    </row>
    <row r="190">
      <c r="A190" s="16" t="n">
        <v>45471</v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Cust 3068</t>
        </is>
      </c>
      <c r="P190" t="n">
        <v>31.02</v>
      </c>
      <c r="Q190" s="16" t="n">
        <v>45471</v>
      </c>
      <c r="R190" s="16" t="n">
        <v>45480</v>
      </c>
      <c r="S190" t="inlineStr">
        <is>
          <t>Wendy</t>
        </is>
      </c>
      <c r="T190" t="inlineStr">
        <is>
          <t>2024-06</t>
        </is>
      </c>
    </row>
    <row r="191">
      <c r="A191" s="16" t="n">
        <v>45397</v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D</t>
        </is>
      </c>
      <c r="G191" t="inlineStr">
        <is>
          <t>Wholesale</t>
        </is>
      </c>
      <c r="H191" t="n">
        <v>0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n">
        <v/>
      </c>
      <c r="M191" t="n">
        <v>0</v>
      </c>
      <c r="N191" t="inlineStr">
        <is>
          <t>REG100189</t>
        </is>
      </c>
      <c r="O191" t="inlineStr">
        <is>
          <t>Cust 3848</t>
        </is>
      </c>
      <c r="P191" t="n">
        <v>36.94</v>
      </c>
      <c r="Q191" s="16" t="n">
        <v>45397</v>
      </c>
      <c r="R191" s="16" t="n">
        <v>45404</v>
      </c>
      <c r="S191" t="inlineStr">
        <is>
          <t>Wendy</t>
        </is>
      </c>
      <c r="T191" t="inlineStr">
        <is>
          <t>2024-04</t>
        </is>
      </c>
    </row>
    <row r="192">
      <c r="A192" s="16" t="n">
        <v>45257</v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C</t>
        </is>
      </c>
      <c r="G192" t="inlineStr">
        <is>
          <t>Wholesale</t>
        </is>
      </c>
      <c r="H192" t="n">
        <v>0.05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Cust 7777</t>
        </is>
      </c>
      <c r="P192" t="n">
        <v>18.54</v>
      </c>
      <c r="Q192" s="16" t="n">
        <v>45257</v>
      </c>
      <c r="R192" s="16" t="n">
        <v>45266</v>
      </c>
      <c r="S192" t="inlineStr">
        <is>
          <t>Eric</t>
        </is>
      </c>
      <c r="T192" t="inlineStr">
        <is>
          <t>2023-11</t>
        </is>
      </c>
    </row>
    <row r="193">
      <c r="A193" s="16" t="n">
        <v>45743</v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D</t>
        </is>
      </c>
      <c r="G193" t="inlineStr">
        <is>
          <t>Wholesale</t>
        </is>
      </c>
      <c r="H193" t="n">
        <v>0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n">
        <v/>
      </c>
      <c r="M193" t="n">
        <v>0</v>
      </c>
      <c r="N193" t="inlineStr">
        <is>
          <t>REG100191</t>
        </is>
      </c>
      <c r="O193" t="inlineStr">
        <is>
          <t>Cust 6613</t>
        </is>
      </c>
      <c r="P193" t="n">
        <v>13.01</v>
      </c>
      <c r="Q193" s="16" t="n">
        <v>45743</v>
      </c>
      <c r="R193" s="16" t="n">
        <v>45745</v>
      </c>
      <c r="S193" t="inlineStr">
        <is>
          <t>Eric</t>
        </is>
      </c>
      <c r="T193" t="inlineStr">
        <is>
          <t>2025-03</t>
        </is>
      </c>
    </row>
    <row r="194">
      <c r="A194" s="16" t="n">
        <v>45144</v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B</t>
        </is>
      </c>
      <c r="G194" t="inlineStr">
        <is>
          <t>Wholesale</t>
        </is>
      </c>
      <c r="H194" t="n">
        <v>0.1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Cust 2326</t>
        </is>
      </c>
      <c r="P194" t="n">
        <v>27.65</v>
      </c>
      <c r="Q194" s="16" t="n">
        <v>45144</v>
      </c>
      <c r="R194" s="16" t="n">
        <v>45148</v>
      </c>
      <c r="S194" t="inlineStr">
        <is>
          <t>Sophie</t>
        </is>
      </c>
      <c r="T194" t="inlineStr">
        <is>
          <t>2023-08</t>
        </is>
      </c>
    </row>
    <row r="195">
      <c r="A195" s="16" t="n">
        <v>45639</v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B</t>
        </is>
      </c>
      <c r="G195" t="inlineStr">
        <is>
          <t>Wholesale</t>
        </is>
      </c>
      <c r="H195" t="n">
        <v>0.15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Cust 8304</t>
        </is>
      </c>
      <c r="P195" t="n">
        <v>7.02</v>
      </c>
      <c r="Q195" s="16" t="n">
        <v>45639</v>
      </c>
      <c r="R195" s="16" t="n">
        <v>45648</v>
      </c>
      <c r="S195" t="inlineStr">
        <is>
          <t>Sophie</t>
        </is>
      </c>
      <c r="T195" t="inlineStr">
        <is>
          <t>2024-12</t>
        </is>
      </c>
    </row>
    <row r="196">
      <c r="A196" s="16" t="n">
        <v>45674</v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B</t>
        </is>
      </c>
      <c r="G196" t="inlineStr">
        <is>
          <t>Wholesale</t>
        </is>
      </c>
      <c r="H196" t="n">
        <v>0.15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Cust 3630</t>
        </is>
      </c>
      <c r="P196" t="n">
        <v>45.77</v>
      </c>
      <c r="Q196" s="16" t="n">
        <v>45674</v>
      </c>
      <c r="R196" s="16" t="n">
        <v>45683</v>
      </c>
      <c r="S196" t="inlineStr">
        <is>
          <t>Cameron</t>
        </is>
      </c>
      <c r="T196" t="inlineStr">
        <is>
          <t>2025-01</t>
        </is>
      </c>
    </row>
    <row r="197">
      <c r="A197" s="16" t="n">
        <v>45256</v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C</t>
        </is>
      </c>
      <c r="G197" t="inlineStr">
        <is>
          <t>Retail</t>
        </is>
      </c>
      <c r="H197" t="n">
        <v>0.1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Cust 8617</t>
        </is>
      </c>
      <c r="P197" t="n">
        <v>18.17</v>
      </c>
      <c r="Q197" s="16" t="n">
        <v>45256</v>
      </c>
      <c r="R197" s="16" t="n">
        <v>45262</v>
      </c>
      <c r="S197" t="inlineStr">
        <is>
          <t>Wendy</t>
        </is>
      </c>
      <c r="T197" t="inlineStr">
        <is>
          <t>2023-11</t>
        </is>
      </c>
    </row>
    <row r="198">
      <c r="A198" s="16" t="n">
        <v>44971</v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0.1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Cust 3530</t>
        </is>
      </c>
      <c r="P198" t="n">
        <v>28.57</v>
      </c>
      <c r="Q198" s="16" t="n">
        <v>44971</v>
      </c>
      <c r="R198" s="16" t="n">
        <v>44975</v>
      </c>
      <c r="S198" t="inlineStr">
        <is>
          <t>Eric</t>
        </is>
      </c>
      <c r="T198" t="inlineStr">
        <is>
          <t>2023-02</t>
        </is>
      </c>
    </row>
    <row r="199">
      <c r="A199" s="16" t="n">
        <v>45690</v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C</t>
        </is>
      </c>
      <c r="G199" t="inlineStr">
        <is>
          <t>Retail</t>
        </is>
      </c>
      <c r="H199" t="n">
        <v>0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Cust 3884</t>
        </is>
      </c>
      <c r="P199" t="n">
        <v>31.8</v>
      </c>
      <c r="Q199" s="16" t="n">
        <v>45690</v>
      </c>
      <c r="R199" s="16" t="n">
        <v>45694</v>
      </c>
      <c r="S199" t="inlineStr">
        <is>
          <t>Cameron</t>
        </is>
      </c>
      <c r="T199" t="inlineStr">
        <is>
          <t>2025-02</t>
        </is>
      </c>
    </row>
    <row r="200">
      <c r="A200" s="16" t="n">
        <v>45027</v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B</t>
        </is>
      </c>
      <c r="G200" t="inlineStr">
        <is>
          <t>Wholesale</t>
        </is>
      </c>
      <c r="H200" t="n">
        <v>0.1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n">
        <v/>
      </c>
      <c r="M200" t="n">
        <v>0</v>
      </c>
      <c r="N200" t="inlineStr">
        <is>
          <t>REG100198</t>
        </is>
      </c>
      <c r="O200" t="inlineStr">
        <is>
          <t>Cust 5739</t>
        </is>
      </c>
      <c r="P200" t="n">
        <v>16.5</v>
      </c>
      <c r="Q200" s="16" t="n">
        <v>45027</v>
      </c>
      <c r="R200" s="16" t="n">
        <v>45036</v>
      </c>
      <c r="S200" t="inlineStr">
        <is>
          <t>Wendy</t>
        </is>
      </c>
      <c r="T200" t="inlineStr">
        <is>
          <t>2023-04</t>
        </is>
      </c>
    </row>
    <row r="201">
      <c r="A201" s="16" t="n">
        <v>45481</v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0.1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Cust 9707</t>
        </is>
      </c>
      <c r="P201" t="n">
        <v>33.58</v>
      </c>
      <c r="Q201" s="16" t="n">
        <v>45481</v>
      </c>
      <c r="R201" s="16" t="n">
        <v>45486</v>
      </c>
      <c r="S201" t="inlineStr">
        <is>
          <t>Ryan</t>
        </is>
      </c>
      <c r="T201" t="inlineStr">
        <is>
          <t>2024-07</t>
        </is>
      </c>
    </row>
    <row r="202">
      <c r="A202" s="16" t="n">
        <v>44965</v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B</t>
        </is>
      </c>
      <c r="G202" t="inlineStr">
        <is>
          <t>Wholesale</t>
        </is>
      </c>
      <c r="H202" t="n">
        <v>0.15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n">
        <v/>
      </c>
      <c r="M202" t="n">
        <v>0</v>
      </c>
      <c r="N202" t="inlineStr">
        <is>
          <t>REG100200</t>
        </is>
      </c>
      <c r="O202" t="inlineStr">
        <is>
          <t>Cust 9288</t>
        </is>
      </c>
      <c r="P202" t="n">
        <v>25.2</v>
      </c>
      <c r="Q202" s="16" t="n">
        <v>44965</v>
      </c>
      <c r="R202" s="16" t="n">
        <v>44971</v>
      </c>
      <c r="S202" t="inlineStr">
        <is>
          <t>Cameron</t>
        </is>
      </c>
      <c r="T202" t="inlineStr">
        <is>
          <t>2023-02</t>
        </is>
      </c>
    </row>
    <row r="203">
      <c r="A203" s="16" t="n">
        <v>45391</v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0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Cust 1216</t>
        </is>
      </c>
      <c r="P203" t="n">
        <v>6.58</v>
      </c>
      <c r="Q203" s="16" t="n">
        <v>45391</v>
      </c>
      <c r="R203" s="16" t="n">
        <v>45398</v>
      </c>
      <c r="S203" t="inlineStr">
        <is>
          <t>Wendy</t>
        </is>
      </c>
      <c r="T203" t="inlineStr">
        <is>
          <t>2024-04</t>
        </is>
      </c>
    </row>
    <row r="204">
      <c r="A204" s="16" t="n">
        <v>45152</v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C</t>
        </is>
      </c>
      <c r="G204" t="inlineStr">
        <is>
          <t>Wholesale</t>
        </is>
      </c>
      <c r="H204" t="n">
        <v>0.15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n">
        <v/>
      </c>
      <c r="M204" t="n">
        <v>0</v>
      </c>
      <c r="N204" t="inlineStr">
        <is>
          <t>REG100202</t>
        </is>
      </c>
      <c r="O204" t="inlineStr">
        <is>
          <t>Cust 2489</t>
        </is>
      </c>
      <c r="P204" t="n">
        <v>47.81</v>
      </c>
      <c r="Q204" s="16" t="n">
        <v>45152</v>
      </c>
      <c r="R204" s="16" t="n">
        <v>45156</v>
      </c>
      <c r="S204" t="inlineStr">
        <is>
          <t>Cameron</t>
        </is>
      </c>
      <c r="T204" t="inlineStr">
        <is>
          <t>2023-08</t>
        </is>
      </c>
    </row>
    <row r="205">
      <c r="A205" s="16" t="n">
        <v>45537</v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D</t>
        </is>
      </c>
      <c r="G205" t="inlineStr">
        <is>
          <t>Retail</t>
        </is>
      </c>
      <c r="H205" t="n">
        <v>0.05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Cust 7171</t>
        </is>
      </c>
      <c r="P205" t="n">
        <v>38.41</v>
      </c>
      <c r="Q205" s="16" t="n">
        <v>45537</v>
      </c>
      <c r="R205" s="16" t="n">
        <v>45541</v>
      </c>
      <c r="S205" t="inlineStr">
        <is>
          <t>Wendy</t>
        </is>
      </c>
      <c r="T205" t="inlineStr">
        <is>
          <t>2024-09</t>
        </is>
      </c>
    </row>
    <row r="206">
      <c r="A206" s="16" t="n">
        <v>45837</v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0.15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Cust 9125</t>
        </is>
      </c>
      <c r="P206" t="n">
        <v>24.29</v>
      </c>
      <c r="Q206" s="16" t="n">
        <v>45837</v>
      </c>
      <c r="R206" s="16" t="n">
        <v>45842</v>
      </c>
      <c r="S206" t="inlineStr">
        <is>
          <t>Cameron</t>
        </is>
      </c>
      <c r="T206" t="inlineStr">
        <is>
          <t>2025-06</t>
        </is>
      </c>
    </row>
    <row r="207">
      <c r="A207" s="16" t="n">
        <v>45749</v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B</t>
        </is>
      </c>
      <c r="G207" t="inlineStr">
        <is>
          <t>Wholesale</t>
        </is>
      </c>
      <c r="H207" t="n">
        <v>0.05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Cust 9697</t>
        </is>
      </c>
      <c r="P207" t="n">
        <v>7.33</v>
      </c>
      <c r="Q207" s="16" t="n">
        <v>45749</v>
      </c>
      <c r="R207" s="16" t="n">
        <v>45755</v>
      </c>
      <c r="S207" t="inlineStr">
        <is>
          <t>Wendy</t>
        </is>
      </c>
      <c r="T207" t="inlineStr">
        <is>
          <t>2025-04</t>
        </is>
      </c>
    </row>
    <row r="208">
      <c r="A208" s="16" t="n">
        <v>45043</v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B</t>
        </is>
      </c>
      <c r="G208" t="inlineStr">
        <is>
          <t>Retail</t>
        </is>
      </c>
      <c r="H208" t="n">
        <v>0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n">
        <v/>
      </c>
      <c r="M208" t="n">
        <v>1</v>
      </c>
      <c r="N208" t="inlineStr">
        <is>
          <t>REG100206</t>
        </is>
      </c>
      <c r="O208" t="inlineStr">
        <is>
          <t>Cust 8171</t>
        </is>
      </c>
      <c r="P208" t="n">
        <v>14.58</v>
      </c>
      <c r="Q208" s="16" t="n">
        <v>45043</v>
      </c>
      <c r="R208" s="16" t="n">
        <v>45053</v>
      </c>
      <c r="S208" t="inlineStr">
        <is>
          <t>Cameron</t>
        </is>
      </c>
      <c r="T208" t="inlineStr">
        <is>
          <t>2023-04</t>
        </is>
      </c>
    </row>
    <row r="209">
      <c r="A209" s="16" t="n">
        <v>45511</v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A</t>
        </is>
      </c>
      <c r="G209" t="inlineStr">
        <is>
          <t>Wholesale</t>
        </is>
      </c>
      <c r="H209" t="n">
        <v>0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n">
        <v/>
      </c>
      <c r="M209" t="n">
        <v>0</v>
      </c>
      <c r="N209" t="inlineStr">
        <is>
          <t>REG100207</t>
        </is>
      </c>
      <c r="O209" t="inlineStr">
        <is>
          <t>Cust 2004</t>
        </is>
      </c>
      <c r="P209" t="n">
        <v>49.17</v>
      </c>
      <c r="Q209" s="16" t="n">
        <v>45511</v>
      </c>
      <c r="R209" s="16" t="n">
        <v>45521</v>
      </c>
      <c r="S209" t="inlineStr">
        <is>
          <t>Eric</t>
        </is>
      </c>
      <c r="T209" t="inlineStr">
        <is>
          <t>2024-08</t>
        </is>
      </c>
    </row>
    <row r="210">
      <c r="A210" s="16" t="n">
        <v>45031</v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C</t>
        </is>
      </c>
      <c r="G210" t="inlineStr">
        <is>
          <t>Retail</t>
        </is>
      </c>
      <c r="H210" t="n">
        <v>0.1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Cust 4214</t>
        </is>
      </c>
      <c r="P210" t="n">
        <v>9.69</v>
      </c>
      <c r="Q210" s="16" t="n">
        <v>45031</v>
      </c>
      <c r="R210" s="16" t="n">
        <v>45041</v>
      </c>
      <c r="S210" t="inlineStr">
        <is>
          <t>Wendy</t>
        </is>
      </c>
      <c r="T210" t="inlineStr">
        <is>
          <t>2023-04</t>
        </is>
      </c>
    </row>
    <row r="211">
      <c r="A211" s="16" t="n">
        <v>45150</v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A</t>
        </is>
      </c>
      <c r="G211" t="inlineStr">
        <is>
          <t>Retail</t>
        </is>
      </c>
      <c r="H211" t="n">
        <v>0.05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n">
        <v/>
      </c>
      <c r="M211" t="n">
        <v>1</v>
      </c>
      <c r="N211" t="inlineStr">
        <is>
          <t>REG100209</t>
        </is>
      </c>
      <c r="O211" t="inlineStr">
        <is>
          <t>Cust 9837</t>
        </is>
      </c>
      <c r="P211" t="n">
        <v>26.32</v>
      </c>
      <c r="Q211" s="16" t="n">
        <v>45150</v>
      </c>
      <c r="R211" s="16" t="n">
        <v>45153</v>
      </c>
      <c r="S211" t="inlineStr">
        <is>
          <t>Sophie</t>
        </is>
      </c>
      <c r="T211" t="inlineStr">
        <is>
          <t>2023-08</t>
        </is>
      </c>
    </row>
    <row r="212">
      <c r="A212" s="16" t="n">
        <v>45096</v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D</t>
        </is>
      </c>
      <c r="G212" t="inlineStr">
        <is>
          <t>Retail</t>
        </is>
      </c>
      <c r="H212" t="n">
        <v>0.15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Cust 2082</t>
        </is>
      </c>
      <c r="P212" t="n">
        <v>9.73</v>
      </c>
      <c r="Q212" s="16" t="n">
        <v>45096</v>
      </c>
      <c r="R212" s="16" t="n">
        <v>45105</v>
      </c>
      <c r="S212" t="inlineStr">
        <is>
          <t>Wendy</t>
        </is>
      </c>
      <c r="T212" t="inlineStr">
        <is>
          <t>2023-06</t>
        </is>
      </c>
    </row>
    <row r="213">
      <c r="A213" s="16" t="n">
        <v>45289</v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A</t>
        </is>
      </c>
      <c r="G213" t="inlineStr">
        <is>
          <t>Wholesale</t>
        </is>
      </c>
      <c r="H213" t="n">
        <v>0.1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n">
        <v/>
      </c>
      <c r="M213" t="n">
        <v>0</v>
      </c>
      <c r="N213" t="inlineStr">
        <is>
          <t>REG100211</t>
        </is>
      </c>
      <c r="O213" t="inlineStr">
        <is>
          <t>Cust 3001</t>
        </is>
      </c>
      <c r="P213" t="n">
        <v>27.07</v>
      </c>
      <c r="Q213" s="16" t="n">
        <v>45289</v>
      </c>
      <c r="R213" s="16" t="n">
        <v>45298</v>
      </c>
      <c r="S213" t="inlineStr">
        <is>
          <t>Eric</t>
        </is>
      </c>
      <c r="T213" t="inlineStr">
        <is>
          <t>2023-12</t>
        </is>
      </c>
    </row>
    <row r="214">
      <c r="A214" s="16" t="n">
        <v>45011</v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D</t>
        </is>
      </c>
      <c r="G214" t="inlineStr">
        <is>
          <t>Retail</t>
        </is>
      </c>
      <c r="H214" t="n">
        <v>0.15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Cust 6161</t>
        </is>
      </c>
      <c r="P214" t="n">
        <v>43.67</v>
      </c>
      <c r="Q214" s="16" t="n">
        <v>45011</v>
      </c>
      <c r="R214" s="16" t="n">
        <v>45015</v>
      </c>
      <c r="S214" t="inlineStr">
        <is>
          <t>Eric</t>
        </is>
      </c>
      <c r="T214" t="inlineStr">
        <is>
          <t>2023-03</t>
        </is>
      </c>
    </row>
    <row r="215">
      <c r="A215" s="16" t="n">
        <v>45170</v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D</t>
        </is>
      </c>
      <c r="G215" t="inlineStr">
        <is>
          <t>Retail</t>
        </is>
      </c>
      <c r="H215" t="n">
        <v>0.15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n">
        <v/>
      </c>
      <c r="M215" t="n">
        <v>0</v>
      </c>
      <c r="N215" t="inlineStr">
        <is>
          <t>REG100213</t>
        </is>
      </c>
      <c r="O215" t="inlineStr">
        <is>
          <t>Cust 5220</t>
        </is>
      </c>
      <c r="P215" t="n">
        <v>14.76</v>
      </c>
      <c r="Q215" s="16" t="n">
        <v>45170</v>
      </c>
      <c r="R215" s="16" t="n">
        <v>45176</v>
      </c>
      <c r="S215" t="inlineStr">
        <is>
          <t>Sophie</t>
        </is>
      </c>
      <c r="T215" t="inlineStr">
        <is>
          <t>2023-09</t>
        </is>
      </c>
    </row>
    <row r="216">
      <c r="A216" s="16" t="n">
        <v>45509</v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B</t>
        </is>
      </c>
      <c r="G216" t="inlineStr">
        <is>
          <t>Wholesale</t>
        </is>
      </c>
      <c r="H216" t="n">
        <v>0.1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Cust 3386</t>
        </is>
      </c>
      <c r="P216" t="n">
        <v>11.03</v>
      </c>
      <c r="Q216" s="16" t="n">
        <v>45509</v>
      </c>
      <c r="R216" s="16" t="n">
        <v>45517</v>
      </c>
      <c r="S216" t="inlineStr">
        <is>
          <t>Wendy</t>
        </is>
      </c>
      <c r="T216" t="inlineStr">
        <is>
          <t>2024-08</t>
        </is>
      </c>
    </row>
    <row r="217">
      <c r="A217" s="16" t="n">
        <v>45680</v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D</t>
        </is>
      </c>
      <c r="G217" t="inlineStr">
        <is>
          <t>Retail</t>
        </is>
      </c>
      <c r="H217" t="n">
        <v>0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n">
        <v/>
      </c>
      <c r="M217" t="n">
        <v>0</v>
      </c>
      <c r="N217" t="inlineStr">
        <is>
          <t>REG100215</t>
        </is>
      </c>
      <c r="O217" t="inlineStr">
        <is>
          <t>Cust 1591</t>
        </is>
      </c>
      <c r="P217" t="n">
        <v>18.23</v>
      </c>
      <c r="Q217" s="16" t="n">
        <v>45680</v>
      </c>
      <c r="R217" s="16" t="n">
        <v>45684</v>
      </c>
      <c r="S217" t="inlineStr">
        <is>
          <t>Ryan</t>
        </is>
      </c>
      <c r="T217" t="inlineStr">
        <is>
          <t>2025-01</t>
        </is>
      </c>
    </row>
    <row r="218">
      <c r="A218" s="16" t="n">
        <v>45062</v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D</t>
        </is>
      </c>
      <c r="G218" t="inlineStr">
        <is>
          <t>Wholesale</t>
        </is>
      </c>
      <c r="H218" t="n">
        <v>0.1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n">
        <v/>
      </c>
      <c r="M218" t="n">
        <v>0</v>
      </c>
      <c r="N218" t="inlineStr">
        <is>
          <t>REG100216</t>
        </is>
      </c>
      <c r="O218" t="inlineStr">
        <is>
          <t>Cust 3434</t>
        </is>
      </c>
      <c r="P218" t="n">
        <v>38.51</v>
      </c>
      <c r="Q218" s="16" t="n">
        <v>45062</v>
      </c>
      <c r="R218" s="16" t="n">
        <v>45069</v>
      </c>
      <c r="S218" t="inlineStr">
        <is>
          <t>Eric</t>
        </is>
      </c>
      <c r="T218" t="inlineStr">
        <is>
          <t>2023-05</t>
        </is>
      </c>
    </row>
    <row r="219">
      <c r="A219" s="16" t="n">
        <v>44971</v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B</t>
        </is>
      </c>
      <c r="G219" t="inlineStr">
        <is>
          <t>Wholesale</t>
        </is>
      </c>
      <c r="H219" t="n">
        <v>0.15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Cust 1501</t>
        </is>
      </c>
      <c r="P219" t="n">
        <v>9.539999999999999</v>
      </c>
      <c r="Q219" s="16" t="n">
        <v>44971</v>
      </c>
      <c r="R219" s="16" t="n">
        <v>44979</v>
      </c>
      <c r="S219" t="inlineStr">
        <is>
          <t>Ryan</t>
        </is>
      </c>
      <c r="T219" t="inlineStr">
        <is>
          <t>2023-02</t>
        </is>
      </c>
    </row>
    <row r="220">
      <c r="A220" s="16" t="n">
        <v>45446</v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D</t>
        </is>
      </c>
      <c r="G220" t="inlineStr">
        <is>
          <t>Retail</t>
        </is>
      </c>
      <c r="H220" t="n">
        <v>0.15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Cust 9683</t>
        </is>
      </c>
      <c r="P220" t="n">
        <v>19.2</v>
      </c>
      <c r="Q220" s="16" t="n">
        <v>45446</v>
      </c>
      <c r="R220" s="16" t="n">
        <v>45455</v>
      </c>
      <c r="S220" t="inlineStr">
        <is>
          <t>Cameron</t>
        </is>
      </c>
      <c r="T220" t="inlineStr">
        <is>
          <t>2024-06</t>
        </is>
      </c>
    </row>
    <row r="221">
      <c r="A221" s="16" t="n">
        <v>45238</v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0.05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Cust 5416</t>
        </is>
      </c>
      <c r="P221" t="n">
        <v>20.96</v>
      </c>
      <c r="Q221" s="16" t="n">
        <v>45238</v>
      </c>
      <c r="R221" s="16" t="n">
        <v>45245</v>
      </c>
      <c r="S221" t="inlineStr">
        <is>
          <t>Cameron</t>
        </is>
      </c>
      <c r="T221" t="inlineStr">
        <is>
          <t>2023-11</t>
        </is>
      </c>
    </row>
    <row r="222">
      <c r="A222" s="16" t="n">
        <v>44950</v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B</t>
        </is>
      </c>
      <c r="G222" t="inlineStr">
        <is>
          <t>Wholesale</t>
        </is>
      </c>
      <c r="H222" t="n">
        <v>0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Cust 2153</t>
        </is>
      </c>
      <c r="P222" t="n">
        <v>21.01</v>
      </c>
      <c r="Q222" s="16" t="n">
        <v>44950</v>
      </c>
      <c r="R222" s="16" t="n">
        <v>44952</v>
      </c>
      <c r="S222" t="inlineStr">
        <is>
          <t>Wendy</t>
        </is>
      </c>
      <c r="T222" t="inlineStr">
        <is>
          <t>2023-01</t>
        </is>
      </c>
    </row>
    <row r="223">
      <c r="A223" s="16" t="n">
        <v>45736</v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0.05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Cust 3572</t>
        </is>
      </c>
      <c r="P223" t="n">
        <v>46.87</v>
      </c>
      <c r="Q223" s="16" t="n">
        <v>45736</v>
      </c>
      <c r="R223" s="16" t="n">
        <v>45744</v>
      </c>
      <c r="S223" t="inlineStr">
        <is>
          <t>Wendy</t>
        </is>
      </c>
      <c r="T223" t="inlineStr">
        <is>
          <t>2025-03</t>
        </is>
      </c>
    </row>
    <row r="224">
      <c r="A224" s="16" t="n">
        <v>45344</v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C</t>
        </is>
      </c>
      <c r="G224" t="inlineStr">
        <is>
          <t>Wholesale</t>
        </is>
      </c>
      <c r="H224" t="n">
        <v>0.05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Cust 6372</t>
        </is>
      </c>
      <c r="P224" t="n">
        <v>24.86</v>
      </c>
      <c r="Q224" s="16" t="n">
        <v>45344</v>
      </c>
      <c r="R224" s="16" t="n">
        <v>45352</v>
      </c>
      <c r="S224" t="inlineStr">
        <is>
          <t>Wendy</t>
        </is>
      </c>
      <c r="T224" t="inlineStr">
        <is>
          <t>2024-02</t>
        </is>
      </c>
    </row>
    <row r="225">
      <c r="A225" s="16" t="n">
        <v>45749</v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D</t>
        </is>
      </c>
      <c r="G225" t="inlineStr">
        <is>
          <t>Retail</t>
        </is>
      </c>
      <c r="H225" t="n">
        <v>0.15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Cust 6109</t>
        </is>
      </c>
      <c r="P225" t="n">
        <v>23.25</v>
      </c>
      <c r="Q225" s="16" t="n">
        <v>45749</v>
      </c>
      <c r="R225" s="16" t="n">
        <v>45757</v>
      </c>
      <c r="S225" t="inlineStr">
        <is>
          <t>Ryan</t>
        </is>
      </c>
      <c r="T225" t="inlineStr">
        <is>
          <t>2025-04</t>
        </is>
      </c>
    </row>
    <row r="226">
      <c r="A226" s="16" t="n">
        <v>45820</v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B</t>
        </is>
      </c>
      <c r="G226" t="inlineStr">
        <is>
          <t>Retail</t>
        </is>
      </c>
      <c r="H226" t="n">
        <v>0.1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n">
        <v/>
      </c>
      <c r="M226" t="n">
        <v>0</v>
      </c>
      <c r="N226" t="inlineStr">
        <is>
          <t>REG100224</t>
        </is>
      </c>
      <c r="O226" t="inlineStr">
        <is>
          <t>Cust 5234</t>
        </is>
      </c>
      <c r="P226" t="n">
        <v>14.88</v>
      </c>
      <c r="Q226" s="16" t="n">
        <v>45820</v>
      </c>
      <c r="R226" s="16" t="n">
        <v>45826</v>
      </c>
      <c r="S226" t="inlineStr">
        <is>
          <t>Ryan</t>
        </is>
      </c>
      <c r="T226" t="inlineStr">
        <is>
          <t>2025-06</t>
        </is>
      </c>
    </row>
    <row r="227">
      <c r="A227" s="16" t="n">
        <v>45059</v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D</t>
        </is>
      </c>
      <c r="G227" t="inlineStr">
        <is>
          <t>Wholesale</t>
        </is>
      </c>
      <c r="H227" t="n">
        <v>0.15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Cust 5530</t>
        </is>
      </c>
      <c r="P227" t="n">
        <v>15.66</v>
      </c>
      <c r="Q227" s="16" t="n">
        <v>45059</v>
      </c>
      <c r="R227" s="16" t="n">
        <v>45063</v>
      </c>
      <c r="S227" t="inlineStr">
        <is>
          <t>Eric</t>
        </is>
      </c>
      <c r="T227" t="inlineStr">
        <is>
          <t>2023-05</t>
        </is>
      </c>
    </row>
    <row r="228">
      <c r="A228" s="16" t="n">
        <v>45010</v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0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n">
        <v/>
      </c>
      <c r="M228" t="n">
        <v>0</v>
      </c>
      <c r="N228" t="inlineStr">
        <is>
          <t>REG100226</t>
        </is>
      </c>
      <c r="O228" t="inlineStr">
        <is>
          <t>Cust 5398</t>
        </is>
      </c>
      <c r="P228" t="n">
        <v>44.86</v>
      </c>
      <c r="Q228" s="16" t="n">
        <v>45010</v>
      </c>
      <c r="R228" s="16" t="n">
        <v>45013</v>
      </c>
      <c r="S228" t="inlineStr">
        <is>
          <t>Sophie</t>
        </is>
      </c>
      <c r="T228" t="inlineStr">
        <is>
          <t>2023-03</t>
        </is>
      </c>
    </row>
    <row r="229">
      <c r="A229" s="16" t="n">
        <v>45618</v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B</t>
        </is>
      </c>
      <c r="G229" t="inlineStr">
        <is>
          <t>Retail</t>
        </is>
      </c>
      <c r="H229" t="n">
        <v>0.15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n">
        <v/>
      </c>
      <c r="M229" t="n">
        <v>1</v>
      </c>
      <c r="N229" t="inlineStr">
        <is>
          <t>REG100227</t>
        </is>
      </c>
      <c r="O229" t="inlineStr">
        <is>
          <t>Cust 3247</t>
        </is>
      </c>
      <c r="P229" t="n">
        <v>39.76</v>
      </c>
      <c r="Q229" s="16" t="n">
        <v>45618</v>
      </c>
      <c r="R229" s="16" t="n">
        <v>45621</v>
      </c>
      <c r="S229" t="inlineStr">
        <is>
          <t>Sophie</t>
        </is>
      </c>
      <c r="T229" t="inlineStr">
        <is>
          <t>2024-11</t>
        </is>
      </c>
    </row>
    <row r="230">
      <c r="A230" s="16" t="n">
        <v>45114</v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B</t>
        </is>
      </c>
      <c r="G230" t="inlineStr">
        <is>
          <t>Wholesale</t>
        </is>
      </c>
      <c r="H230" t="n">
        <v>0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Cust 7137</t>
        </is>
      </c>
      <c r="P230" t="n">
        <v>46.25</v>
      </c>
      <c r="Q230" s="16" t="n">
        <v>45114</v>
      </c>
      <c r="R230" s="16" t="n">
        <v>45124</v>
      </c>
      <c r="S230" t="inlineStr">
        <is>
          <t>Eric</t>
        </is>
      </c>
      <c r="T230" t="inlineStr">
        <is>
          <t>2023-07</t>
        </is>
      </c>
    </row>
    <row r="231">
      <c r="A231" s="16" t="n">
        <v>45570</v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D</t>
        </is>
      </c>
      <c r="G231" t="inlineStr">
        <is>
          <t>Wholesale</t>
        </is>
      </c>
      <c r="H231" t="n">
        <v>0.05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n">
        <v/>
      </c>
      <c r="M231" t="n">
        <v>0</v>
      </c>
      <c r="N231" t="inlineStr">
        <is>
          <t>REG100229</t>
        </is>
      </c>
      <c r="O231" t="inlineStr">
        <is>
          <t>Cust 4627</t>
        </is>
      </c>
      <c r="P231" t="n">
        <v>25.22</v>
      </c>
      <c r="Q231" s="16" t="n">
        <v>45570</v>
      </c>
      <c r="R231" s="16" t="n">
        <v>45574</v>
      </c>
      <c r="S231" t="inlineStr">
        <is>
          <t>Eric</t>
        </is>
      </c>
      <c r="T231" t="inlineStr">
        <is>
          <t>2024-10</t>
        </is>
      </c>
    </row>
    <row r="232">
      <c r="A232" s="16" t="n">
        <v>45382</v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B</t>
        </is>
      </c>
      <c r="G232" t="inlineStr">
        <is>
          <t>Wholesale</t>
        </is>
      </c>
      <c r="H232" t="n">
        <v>0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Cust 4878</t>
        </is>
      </c>
      <c r="P232" t="n">
        <v>43.8</v>
      </c>
      <c r="Q232" s="16" t="n">
        <v>45382</v>
      </c>
      <c r="R232" s="16" t="n">
        <v>45390</v>
      </c>
      <c r="S232" t="inlineStr">
        <is>
          <t>Wendy</t>
        </is>
      </c>
      <c r="T232" t="inlineStr">
        <is>
          <t>2024-03</t>
        </is>
      </c>
    </row>
    <row r="233">
      <c r="A233" s="16" t="n">
        <v>45748</v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A</t>
        </is>
      </c>
      <c r="G233" t="inlineStr">
        <is>
          <t>Wholesale</t>
        </is>
      </c>
      <c r="H233" t="n">
        <v>0.05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Cust 2779</t>
        </is>
      </c>
      <c r="P233" t="n">
        <v>34.07</v>
      </c>
      <c r="Q233" s="16" t="n">
        <v>45748</v>
      </c>
      <c r="R233" s="16" t="n">
        <v>45751</v>
      </c>
      <c r="S233" t="inlineStr">
        <is>
          <t>Wendy</t>
        </is>
      </c>
      <c r="T233" t="inlineStr">
        <is>
          <t>2025-04</t>
        </is>
      </c>
    </row>
    <row r="234">
      <c r="A234" s="16" t="n">
        <v>45161</v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A</t>
        </is>
      </c>
      <c r="G234" t="inlineStr">
        <is>
          <t>Wholesale</t>
        </is>
      </c>
      <c r="H234" t="n">
        <v>0.05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Cust 8606</t>
        </is>
      </c>
      <c r="P234" t="n">
        <v>26.38</v>
      </c>
      <c r="Q234" s="16" t="n">
        <v>45161</v>
      </c>
      <c r="R234" s="16" t="n">
        <v>45164</v>
      </c>
      <c r="S234" t="inlineStr">
        <is>
          <t>Wendy</t>
        </is>
      </c>
      <c r="T234" t="inlineStr">
        <is>
          <t>2023-08</t>
        </is>
      </c>
    </row>
    <row r="235">
      <c r="A235" s="16" t="n">
        <v>45518</v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D</t>
        </is>
      </c>
      <c r="G235" t="inlineStr">
        <is>
          <t>Wholesale</t>
        </is>
      </c>
      <c r="H235" t="n">
        <v>0.1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n">
        <v/>
      </c>
      <c r="M235" t="n">
        <v>0</v>
      </c>
      <c r="N235" t="inlineStr">
        <is>
          <t>REG100233</t>
        </is>
      </c>
      <c r="O235" t="inlineStr">
        <is>
          <t>Cust 9599</t>
        </is>
      </c>
      <c r="P235" t="n">
        <v>6.22</v>
      </c>
      <c r="Q235" s="16" t="n">
        <v>45518</v>
      </c>
      <c r="R235" s="16" t="n">
        <v>45525</v>
      </c>
      <c r="S235" t="inlineStr">
        <is>
          <t>Sophie</t>
        </is>
      </c>
      <c r="T235" t="inlineStr">
        <is>
          <t>2024-08</t>
        </is>
      </c>
    </row>
    <row r="236">
      <c r="A236" s="16" t="n">
        <v>45702</v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B</t>
        </is>
      </c>
      <c r="G236" t="inlineStr">
        <is>
          <t>Retail</t>
        </is>
      </c>
      <c r="H236" t="n">
        <v>0.15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n">
        <v/>
      </c>
      <c r="M236" t="n">
        <v>0</v>
      </c>
      <c r="N236" t="inlineStr">
        <is>
          <t>REG100234</t>
        </is>
      </c>
      <c r="O236" t="inlineStr">
        <is>
          <t>Cust 4500</t>
        </is>
      </c>
      <c r="P236" t="n">
        <v>9.640000000000001</v>
      </c>
      <c r="Q236" s="16" t="n">
        <v>45702</v>
      </c>
      <c r="R236" s="16" t="n">
        <v>45707</v>
      </c>
      <c r="S236" t="inlineStr">
        <is>
          <t>Cameron</t>
        </is>
      </c>
      <c r="T236" t="inlineStr">
        <is>
          <t>2025-02</t>
        </is>
      </c>
    </row>
    <row r="237">
      <c r="A237" s="16" t="n">
        <v>45241</v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B</t>
        </is>
      </c>
      <c r="G237" t="inlineStr">
        <is>
          <t>Wholesale</t>
        </is>
      </c>
      <c r="H237" t="n">
        <v>0.1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Cust 4173</t>
        </is>
      </c>
      <c r="P237" t="n">
        <v>22.72</v>
      </c>
      <c r="Q237" s="16" t="n">
        <v>45241</v>
      </c>
      <c r="R237" s="16" t="n">
        <v>45246</v>
      </c>
      <c r="S237" t="inlineStr">
        <is>
          <t>Wendy</t>
        </is>
      </c>
      <c r="T237" t="inlineStr">
        <is>
          <t>2023-11</t>
        </is>
      </c>
    </row>
    <row r="238">
      <c r="A238" s="16" t="n">
        <v>45383</v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0.15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Cust 7607</t>
        </is>
      </c>
      <c r="P238" t="n">
        <v>37.09</v>
      </c>
      <c r="Q238" s="16" t="n">
        <v>45383</v>
      </c>
      <c r="R238" s="16" t="n">
        <v>45391</v>
      </c>
      <c r="S238" t="inlineStr">
        <is>
          <t>Cameron</t>
        </is>
      </c>
      <c r="T238" t="inlineStr">
        <is>
          <t>2024-04</t>
        </is>
      </c>
    </row>
    <row r="239">
      <c r="A239" s="16" t="n">
        <v>45456</v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C</t>
        </is>
      </c>
      <c r="G239" t="inlineStr">
        <is>
          <t>Retail</t>
        </is>
      </c>
      <c r="H239" t="n">
        <v>0.05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n">
        <v/>
      </c>
      <c r="M239" t="n">
        <v>0</v>
      </c>
      <c r="N239" t="inlineStr">
        <is>
          <t>REG100237</t>
        </is>
      </c>
      <c r="O239" t="inlineStr">
        <is>
          <t>Cust 4768</t>
        </is>
      </c>
      <c r="P239" t="n">
        <v>29.4</v>
      </c>
      <c r="Q239" s="16" t="n">
        <v>45456</v>
      </c>
      <c r="R239" s="16" t="n">
        <v>45463</v>
      </c>
      <c r="S239" t="inlineStr">
        <is>
          <t>Sophie</t>
        </is>
      </c>
      <c r="T239" t="inlineStr">
        <is>
          <t>2024-06</t>
        </is>
      </c>
    </row>
    <row r="240">
      <c r="A240" s="16" t="n">
        <v>45258</v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B</t>
        </is>
      </c>
      <c r="G240" t="inlineStr">
        <is>
          <t>Wholesale</t>
        </is>
      </c>
      <c r="H240" t="n">
        <v>0.1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Cust 5746</t>
        </is>
      </c>
      <c r="P240" t="n">
        <v>32.19</v>
      </c>
      <c r="Q240" s="16" t="n">
        <v>45258</v>
      </c>
      <c r="R240" s="16" t="n">
        <v>45263</v>
      </c>
      <c r="S240" t="inlineStr">
        <is>
          <t>Ryan</t>
        </is>
      </c>
      <c r="T240" t="inlineStr">
        <is>
          <t>2023-11</t>
        </is>
      </c>
    </row>
    <row r="241">
      <c r="A241" s="16" t="n">
        <v>45607</v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A</t>
        </is>
      </c>
      <c r="G241" t="inlineStr">
        <is>
          <t>Retail</t>
        </is>
      </c>
      <c r="H241" t="n">
        <v>0.1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n">
        <v/>
      </c>
      <c r="M241" t="n">
        <v>1</v>
      </c>
      <c r="N241" t="inlineStr">
        <is>
          <t>REG100239</t>
        </is>
      </c>
      <c r="O241" t="inlineStr">
        <is>
          <t>Cust 3002</t>
        </is>
      </c>
      <c r="P241" t="n">
        <v>8.59</v>
      </c>
      <c r="Q241" s="16" t="n">
        <v>45607</v>
      </c>
      <c r="R241" s="16" t="n">
        <v>45612</v>
      </c>
      <c r="S241" t="inlineStr">
        <is>
          <t>Cameron</t>
        </is>
      </c>
      <c r="T241" t="inlineStr">
        <is>
          <t>2024-11</t>
        </is>
      </c>
    </row>
    <row r="242">
      <c r="A242" s="16" t="n">
        <v>45600</v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D</t>
        </is>
      </c>
      <c r="G242" t="inlineStr">
        <is>
          <t>Retail</t>
        </is>
      </c>
      <c r="H242" t="n">
        <v>0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n">
        <v/>
      </c>
      <c r="M242" t="n">
        <v>0</v>
      </c>
      <c r="N242" t="inlineStr">
        <is>
          <t>REG100240</t>
        </is>
      </c>
      <c r="O242" t="inlineStr">
        <is>
          <t>Cust 3237</t>
        </is>
      </c>
      <c r="P242" t="n">
        <v>24.72</v>
      </c>
      <c r="Q242" s="16" t="n">
        <v>45600</v>
      </c>
      <c r="R242" s="16" t="n">
        <v>45604</v>
      </c>
      <c r="S242" t="inlineStr">
        <is>
          <t>Ryan</t>
        </is>
      </c>
      <c r="T242" t="inlineStr">
        <is>
          <t>2024-11</t>
        </is>
      </c>
    </row>
    <row r="243">
      <c r="A243" s="16" t="n">
        <v>44927</v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D</t>
        </is>
      </c>
      <c r="G243" t="inlineStr">
        <is>
          <t>Retail</t>
        </is>
      </c>
      <c r="H243" t="n">
        <v>0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Cust 6437</t>
        </is>
      </c>
      <c r="P243" t="n">
        <v>19.92</v>
      </c>
      <c r="Q243" s="16" t="n">
        <v>44927</v>
      </c>
      <c r="R243" s="16" t="n">
        <v>44937</v>
      </c>
      <c r="S243" t="inlineStr">
        <is>
          <t>Cameron</t>
        </is>
      </c>
      <c r="T243" t="inlineStr">
        <is>
          <t>2023-01</t>
        </is>
      </c>
    </row>
    <row r="244">
      <c r="A244" s="16" t="n">
        <v>45675</v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0.1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Cust 8806</t>
        </is>
      </c>
      <c r="P244" t="n">
        <v>7.46</v>
      </c>
      <c r="Q244" s="16" t="n">
        <v>45675</v>
      </c>
      <c r="R244" s="16" t="n">
        <v>45677</v>
      </c>
      <c r="S244" t="inlineStr">
        <is>
          <t>Ryan</t>
        </is>
      </c>
      <c r="T244" t="inlineStr">
        <is>
          <t>2025-01</t>
        </is>
      </c>
    </row>
    <row r="245">
      <c r="A245" s="16" t="n">
        <v>45048</v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A</t>
        </is>
      </c>
      <c r="G245" t="inlineStr">
        <is>
          <t>Wholesale</t>
        </is>
      </c>
      <c r="H245" t="n">
        <v>0.05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Cust 8678</t>
        </is>
      </c>
      <c r="P245" t="n">
        <v>9.6</v>
      </c>
      <c r="Q245" s="16" t="n">
        <v>45048</v>
      </c>
      <c r="R245" s="16" t="n">
        <v>45056</v>
      </c>
      <c r="S245" t="inlineStr">
        <is>
          <t>Cameron</t>
        </is>
      </c>
      <c r="T245" t="inlineStr">
        <is>
          <t>2023-05</t>
        </is>
      </c>
    </row>
    <row r="246">
      <c r="A246" s="16" t="n">
        <v>45804</v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B</t>
        </is>
      </c>
      <c r="G246" t="inlineStr">
        <is>
          <t>Retail</t>
        </is>
      </c>
      <c r="H246" t="n">
        <v>0.15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n">
        <v/>
      </c>
      <c r="M246" t="n">
        <v>0</v>
      </c>
      <c r="N246" t="inlineStr">
        <is>
          <t>REG100244</t>
        </is>
      </c>
      <c r="O246" t="inlineStr">
        <is>
          <t>Cust 9649</t>
        </is>
      </c>
      <c r="P246" t="n">
        <v>42.74</v>
      </c>
      <c r="Q246" s="16" t="n">
        <v>45804</v>
      </c>
      <c r="R246" s="16" t="n">
        <v>45810</v>
      </c>
      <c r="S246" t="inlineStr">
        <is>
          <t>Wendy</t>
        </is>
      </c>
      <c r="T246" t="inlineStr">
        <is>
          <t>2025-05</t>
        </is>
      </c>
    </row>
    <row r="247">
      <c r="A247" s="16" t="n">
        <v>45653</v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C</t>
        </is>
      </c>
      <c r="G247" t="inlineStr">
        <is>
          <t>Wholesale</t>
        </is>
      </c>
      <c r="H247" t="n">
        <v>0.1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Cust 1960</t>
        </is>
      </c>
      <c r="P247" t="n">
        <v>12.35</v>
      </c>
      <c r="Q247" s="16" t="n">
        <v>45653</v>
      </c>
      <c r="R247" s="16" t="n">
        <v>45662</v>
      </c>
      <c r="S247" t="inlineStr">
        <is>
          <t>Sophie</t>
        </is>
      </c>
      <c r="T247" t="inlineStr">
        <is>
          <t>2024-12</t>
        </is>
      </c>
    </row>
    <row r="248">
      <c r="A248" s="16" t="n">
        <v>45734</v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B</t>
        </is>
      </c>
      <c r="G248" t="inlineStr">
        <is>
          <t>Retail</t>
        </is>
      </c>
      <c r="H248" t="n">
        <v>0.1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n">
        <v/>
      </c>
      <c r="M248" t="n">
        <v>0</v>
      </c>
      <c r="N248" t="inlineStr">
        <is>
          <t>REG100246</t>
        </is>
      </c>
      <c r="O248" t="inlineStr">
        <is>
          <t>Cust 3910</t>
        </is>
      </c>
      <c r="P248" t="n">
        <v>14.74</v>
      </c>
      <c r="Q248" s="16" t="n">
        <v>45734</v>
      </c>
      <c r="R248" s="16" t="n">
        <v>45740</v>
      </c>
      <c r="S248" t="inlineStr">
        <is>
          <t>Wendy</t>
        </is>
      </c>
      <c r="T248" t="inlineStr">
        <is>
          <t>2025-03</t>
        </is>
      </c>
    </row>
    <row r="249">
      <c r="A249" s="16" t="n">
        <v>45375</v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C</t>
        </is>
      </c>
      <c r="G249" t="inlineStr">
        <is>
          <t>Wholesale</t>
        </is>
      </c>
      <c r="H249" t="n">
        <v>0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Cust 4944</t>
        </is>
      </c>
      <c r="P249" t="n">
        <v>28.92</v>
      </c>
      <c r="Q249" s="16" t="n">
        <v>45375</v>
      </c>
      <c r="R249" s="16" t="n">
        <v>45382</v>
      </c>
      <c r="S249" t="inlineStr">
        <is>
          <t>Eric</t>
        </is>
      </c>
      <c r="T249" t="inlineStr">
        <is>
          <t>2024-03</t>
        </is>
      </c>
    </row>
    <row r="250">
      <c r="A250" s="16" t="n">
        <v>45652</v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C</t>
        </is>
      </c>
      <c r="G250" t="inlineStr">
        <is>
          <t>Wholesale</t>
        </is>
      </c>
      <c r="H250" t="n">
        <v>0.05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n">
        <v/>
      </c>
      <c r="M250" t="n">
        <v>1</v>
      </c>
      <c r="N250" t="inlineStr">
        <is>
          <t>REG100248</t>
        </is>
      </c>
      <c r="O250" t="inlineStr">
        <is>
          <t>Cust 9618</t>
        </is>
      </c>
      <c r="P250" t="n">
        <v>5.15</v>
      </c>
      <c r="Q250" s="16" t="n">
        <v>45652</v>
      </c>
      <c r="R250" s="16" t="n">
        <v>45660</v>
      </c>
      <c r="S250" t="inlineStr">
        <is>
          <t>Eric</t>
        </is>
      </c>
      <c r="T250" t="inlineStr">
        <is>
          <t>2024-12</t>
        </is>
      </c>
    </row>
    <row r="251">
      <c r="A251" s="16" t="n">
        <v>44937</v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D</t>
        </is>
      </c>
      <c r="G251" t="inlineStr">
        <is>
          <t>Retail</t>
        </is>
      </c>
      <c r="H251" t="n">
        <v>0.05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Cust 2279</t>
        </is>
      </c>
      <c r="P251" t="n">
        <v>24.39</v>
      </c>
      <c r="Q251" s="16" t="n">
        <v>44937</v>
      </c>
      <c r="R251" s="16" t="n">
        <v>44940</v>
      </c>
      <c r="S251" t="inlineStr">
        <is>
          <t>Ryan</t>
        </is>
      </c>
      <c r="T251" t="inlineStr">
        <is>
          <t>2023-01</t>
        </is>
      </c>
    </row>
    <row r="252">
      <c r="A252" s="16" t="n">
        <v>45809</v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0.15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Cust 4689</t>
        </is>
      </c>
      <c r="P252" t="n">
        <v>25.16</v>
      </c>
      <c r="Q252" s="16" t="n">
        <v>45809</v>
      </c>
      <c r="R252" s="16" t="n">
        <v>45818</v>
      </c>
      <c r="S252" t="inlineStr">
        <is>
          <t>Sophie</t>
        </is>
      </c>
      <c r="T252" t="inlineStr">
        <is>
          <t>2025-06</t>
        </is>
      </c>
    </row>
    <row r="253">
      <c r="A253" s="16" t="n">
        <v>45561</v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D</t>
        </is>
      </c>
      <c r="G253" t="inlineStr">
        <is>
          <t>Retail</t>
        </is>
      </c>
      <c r="H253" t="n">
        <v>0.15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n">
        <v/>
      </c>
      <c r="M253" t="n">
        <v>1</v>
      </c>
      <c r="N253" t="inlineStr">
        <is>
          <t>REG100251</t>
        </is>
      </c>
      <c r="O253" t="inlineStr">
        <is>
          <t>Cust 7381</t>
        </is>
      </c>
      <c r="P253" t="n">
        <v>16.8</v>
      </c>
      <c r="Q253" s="16" t="n">
        <v>45561</v>
      </c>
      <c r="R253" s="16" t="n">
        <v>45566</v>
      </c>
      <c r="S253" t="inlineStr">
        <is>
          <t>Eric</t>
        </is>
      </c>
      <c r="T253" t="inlineStr">
        <is>
          <t>2024-09</t>
        </is>
      </c>
    </row>
    <row r="254">
      <c r="A254" s="16" t="n">
        <v>45514</v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C</t>
        </is>
      </c>
      <c r="G254" t="inlineStr">
        <is>
          <t>Retail</t>
        </is>
      </c>
      <c r="H254" t="n">
        <v>0.1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n">
        <v/>
      </c>
      <c r="M254" t="n">
        <v>0</v>
      </c>
      <c r="N254" t="inlineStr">
        <is>
          <t>REG100252</t>
        </is>
      </c>
      <c r="O254" t="inlineStr">
        <is>
          <t>Cust 2724</t>
        </is>
      </c>
      <c r="P254" t="n">
        <v>43.17</v>
      </c>
      <c r="Q254" s="16" t="n">
        <v>45514</v>
      </c>
      <c r="R254" s="16" t="n">
        <v>45521</v>
      </c>
      <c r="S254" t="inlineStr">
        <is>
          <t>Eric</t>
        </is>
      </c>
      <c r="T254" t="inlineStr">
        <is>
          <t>2024-08</t>
        </is>
      </c>
    </row>
    <row r="255">
      <c r="A255" s="16" t="n">
        <v>45718</v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C</t>
        </is>
      </c>
      <c r="G255" t="inlineStr">
        <is>
          <t>Retail</t>
        </is>
      </c>
      <c r="H255" t="n">
        <v>0.1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n">
        <v/>
      </c>
      <c r="M255" t="n">
        <v>0</v>
      </c>
      <c r="N255" t="inlineStr">
        <is>
          <t>REG100253</t>
        </is>
      </c>
      <c r="O255" t="inlineStr">
        <is>
          <t>Cust 2823</t>
        </is>
      </c>
      <c r="P255" t="n">
        <v>17.64</v>
      </c>
      <c r="Q255" s="16" t="n">
        <v>45718</v>
      </c>
      <c r="R255" s="16" t="n">
        <v>45726</v>
      </c>
      <c r="S255" t="inlineStr">
        <is>
          <t>Sophie</t>
        </is>
      </c>
      <c r="T255" t="inlineStr">
        <is>
          <t>2025-03</t>
        </is>
      </c>
    </row>
    <row r="256">
      <c r="A256" s="16" t="n">
        <v>44978</v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B</t>
        </is>
      </c>
      <c r="G256" t="inlineStr">
        <is>
          <t>Wholesale</t>
        </is>
      </c>
      <c r="H256" t="n">
        <v>0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Cust 9402</t>
        </is>
      </c>
      <c r="P256" t="n">
        <v>45.54</v>
      </c>
      <c r="Q256" s="16" t="n">
        <v>44978</v>
      </c>
      <c r="R256" s="16" t="n">
        <v>44987</v>
      </c>
      <c r="S256" t="inlineStr">
        <is>
          <t>Eric</t>
        </is>
      </c>
      <c r="T256" t="inlineStr">
        <is>
          <t>2023-02</t>
        </is>
      </c>
    </row>
    <row r="257">
      <c r="A257" s="16" t="n">
        <v>45616</v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C</t>
        </is>
      </c>
      <c r="G257" t="inlineStr">
        <is>
          <t>Retail</t>
        </is>
      </c>
      <c r="H257" t="n">
        <v>0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Cust 6561</t>
        </is>
      </c>
      <c r="P257" t="n">
        <v>43.73</v>
      </c>
      <c r="Q257" s="16" t="n">
        <v>45616</v>
      </c>
      <c r="R257" s="16" t="n">
        <v>45623</v>
      </c>
      <c r="S257" t="inlineStr">
        <is>
          <t>Eric</t>
        </is>
      </c>
      <c r="T257" t="inlineStr">
        <is>
          <t>2024-11</t>
        </is>
      </c>
    </row>
    <row r="258">
      <c r="A258" s="16" t="n">
        <v>45164</v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B</t>
        </is>
      </c>
      <c r="G258" t="inlineStr">
        <is>
          <t>Retail</t>
        </is>
      </c>
      <c r="H258" t="n">
        <v>0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Cust 3116</t>
        </is>
      </c>
      <c r="P258" t="n">
        <v>35.37</v>
      </c>
      <c r="Q258" s="16" t="n">
        <v>45164</v>
      </c>
      <c r="R258" s="16" t="n">
        <v>45167</v>
      </c>
      <c r="S258" t="inlineStr">
        <is>
          <t>Eric</t>
        </is>
      </c>
      <c r="T258" t="inlineStr">
        <is>
          <t>2023-08</t>
        </is>
      </c>
    </row>
    <row r="259">
      <c r="A259" s="16" t="n">
        <v>45292</v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B</t>
        </is>
      </c>
      <c r="G259" t="inlineStr">
        <is>
          <t>Retail</t>
        </is>
      </c>
      <c r="H259" t="n">
        <v>0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Cust 1015</t>
        </is>
      </c>
      <c r="P259" t="n">
        <v>20.64</v>
      </c>
      <c r="Q259" s="16" t="n">
        <v>45292</v>
      </c>
      <c r="R259" s="16" t="n">
        <v>45299</v>
      </c>
      <c r="S259" t="inlineStr">
        <is>
          <t>Sophie</t>
        </is>
      </c>
      <c r="T259" t="inlineStr">
        <is>
          <t>2024-01</t>
        </is>
      </c>
    </row>
    <row r="260">
      <c r="A260" s="16" t="n">
        <v>45620</v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0.05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Cust 1207</t>
        </is>
      </c>
      <c r="P260" t="n">
        <v>48.33</v>
      </c>
      <c r="Q260" s="16" t="n">
        <v>45620</v>
      </c>
      <c r="R260" s="16" t="n">
        <v>45626</v>
      </c>
      <c r="S260" t="inlineStr">
        <is>
          <t>Sophie</t>
        </is>
      </c>
      <c r="T260" t="inlineStr">
        <is>
          <t>2024-11</t>
        </is>
      </c>
    </row>
    <row r="261">
      <c r="A261" s="16" t="n">
        <v>45529</v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C</t>
        </is>
      </c>
      <c r="G261" t="inlineStr">
        <is>
          <t>Retail</t>
        </is>
      </c>
      <c r="H261" t="n">
        <v>0.15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n">
        <v/>
      </c>
      <c r="M261" t="n">
        <v>0</v>
      </c>
      <c r="N261" t="inlineStr">
        <is>
          <t>REG100259</t>
        </is>
      </c>
      <c r="O261" t="inlineStr">
        <is>
          <t>Cust 2501</t>
        </is>
      </c>
      <c r="P261" t="n">
        <v>17.12</v>
      </c>
      <c r="Q261" s="16" t="n">
        <v>45529</v>
      </c>
      <c r="R261" s="16" t="n">
        <v>45536</v>
      </c>
      <c r="S261" t="inlineStr">
        <is>
          <t>Sophie</t>
        </is>
      </c>
      <c r="T261" t="inlineStr">
        <is>
          <t>2024-08</t>
        </is>
      </c>
    </row>
    <row r="262">
      <c r="A262" s="16" t="n">
        <v>45087</v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0.15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Cust 2330</t>
        </is>
      </c>
      <c r="P262" t="n">
        <v>34.64</v>
      </c>
      <c r="Q262" s="16" t="n">
        <v>45087</v>
      </c>
      <c r="R262" s="16" t="n">
        <v>45095</v>
      </c>
      <c r="S262" t="inlineStr">
        <is>
          <t>Sophie</t>
        </is>
      </c>
      <c r="T262" t="inlineStr">
        <is>
          <t>2023-06</t>
        </is>
      </c>
    </row>
    <row r="263">
      <c r="A263" s="16" t="n">
        <v>45644</v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A</t>
        </is>
      </c>
      <c r="G263" t="inlineStr">
        <is>
          <t>Retail</t>
        </is>
      </c>
      <c r="H263" t="n">
        <v>0.1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n">
        <v/>
      </c>
      <c r="M263" t="n">
        <v>0</v>
      </c>
      <c r="N263" t="inlineStr">
        <is>
          <t>REG100261</t>
        </is>
      </c>
      <c r="O263" t="inlineStr">
        <is>
          <t>Cust 7436</t>
        </is>
      </c>
      <c r="P263" t="n">
        <v>15.64</v>
      </c>
      <c r="Q263" s="16" t="n">
        <v>45644</v>
      </c>
      <c r="R263" s="16" t="n">
        <v>45652</v>
      </c>
      <c r="S263" t="inlineStr">
        <is>
          <t>Ryan</t>
        </is>
      </c>
      <c r="T263" t="inlineStr">
        <is>
          <t>2024-12</t>
        </is>
      </c>
    </row>
    <row r="264">
      <c r="A264" s="16" t="n">
        <v>45166</v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0.05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Cust 2762</t>
        </is>
      </c>
      <c r="P264" t="n">
        <v>6.15</v>
      </c>
      <c r="Q264" s="16" t="n">
        <v>45166</v>
      </c>
      <c r="R264" s="16" t="n">
        <v>45170</v>
      </c>
      <c r="S264" t="inlineStr">
        <is>
          <t>Eric</t>
        </is>
      </c>
      <c r="T264" t="inlineStr">
        <is>
          <t>2023-08</t>
        </is>
      </c>
    </row>
    <row r="265">
      <c r="A265" s="16" t="n">
        <v>44948</v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A</t>
        </is>
      </c>
      <c r="G265" t="inlineStr">
        <is>
          <t>Retail</t>
        </is>
      </c>
      <c r="H265" t="n">
        <v>0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Cust 3599</t>
        </is>
      </c>
      <c r="P265" t="n">
        <v>17.69</v>
      </c>
      <c r="Q265" s="16" t="n">
        <v>44948</v>
      </c>
      <c r="R265" s="16" t="n">
        <v>44957</v>
      </c>
      <c r="S265" t="inlineStr">
        <is>
          <t>Wendy</t>
        </is>
      </c>
      <c r="T265" t="inlineStr">
        <is>
          <t>2023-01</t>
        </is>
      </c>
    </row>
    <row r="266">
      <c r="A266" s="16" t="n">
        <v>44964</v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B</t>
        </is>
      </c>
      <c r="G266" t="inlineStr">
        <is>
          <t>Retail</t>
        </is>
      </c>
      <c r="H266" t="n">
        <v>0.15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Cust 4127</t>
        </is>
      </c>
      <c r="P266" t="n">
        <v>25.71</v>
      </c>
      <c r="Q266" s="16" t="n">
        <v>44964</v>
      </c>
      <c r="R266" s="16" t="n">
        <v>44971</v>
      </c>
      <c r="S266" t="inlineStr">
        <is>
          <t>Ryan</t>
        </is>
      </c>
      <c r="T266" t="inlineStr">
        <is>
          <t>2023-02</t>
        </is>
      </c>
    </row>
    <row r="267">
      <c r="A267" s="16" t="n">
        <v>45252</v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0.05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Cust 6855</t>
        </is>
      </c>
      <c r="P267" t="n">
        <v>48.51</v>
      </c>
      <c r="Q267" s="16" t="n">
        <v>45252</v>
      </c>
      <c r="R267" s="16" t="n">
        <v>45259</v>
      </c>
      <c r="S267" t="inlineStr">
        <is>
          <t>Sophie</t>
        </is>
      </c>
      <c r="T267" t="inlineStr">
        <is>
          <t>2023-11</t>
        </is>
      </c>
    </row>
    <row r="268">
      <c r="A268" s="16" t="n">
        <v>44951</v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0.15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Cust 7017</t>
        </is>
      </c>
      <c r="P268" t="n">
        <v>33.5</v>
      </c>
      <c r="Q268" s="16" t="n">
        <v>44951</v>
      </c>
      <c r="R268" s="16" t="n">
        <v>44955</v>
      </c>
      <c r="S268" t="inlineStr">
        <is>
          <t>Wendy</t>
        </is>
      </c>
      <c r="T268" t="inlineStr">
        <is>
          <t>2023-01</t>
        </is>
      </c>
    </row>
    <row r="269">
      <c r="A269" s="16" t="n">
        <v>45721</v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0.05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Cust 6957</t>
        </is>
      </c>
      <c r="P269" t="n">
        <v>26.78</v>
      </c>
      <c r="Q269" s="16" t="n">
        <v>45721</v>
      </c>
      <c r="R269" s="16" t="n">
        <v>45725</v>
      </c>
      <c r="S269" t="inlineStr">
        <is>
          <t>Sophie</t>
        </is>
      </c>
      <c r="T269" t="inlineStr">
        <is>
          <t>2025-03</t>
        </is>
      </c>
    </row>
    <row r="270">
      <c r="A270" s="16" t="n">
        <v>44959</v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D</t>
        </is>
      </c>
      <c r="G270" t="inlineStr">
        <is>
          <t>Retail</t>
        </is>
      </c>
      <c r="H270" t="n">
        <v>0.1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Cust 9822</t>
        </is>
      </c>
      <c r="P270" t="n">
        <v>17.25</v>
      </c>
      <c r="Q270" s="16" t="n">
        <v>44959</v>
      </c>
      <c r="R270" s="16" t="n">
        <v>44969</v>
      </c>
      <c r="S270" t="inlineStr">
        <is>
          <t>Ryan</t>
        </is>
      </c>
      <c r="T270" t="inlineStr">
        <is>
          <t>2023-02</t>
        </is>
      </c>
    </row>
    <row r="271">
      <c r="A271" s="16" t="n">
        <v>45070</v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0.1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Cust 7425</t>
        </is>
      </c>
      <c r="P271" t="n">
        <v>37.5</v>
      </c>
      <c r="Q271" s="16" t="n">
        <v>45070</v>
      </c>
      <c r="R271" s="16" t="n">
        <v>45078</v>
      </c>
      <c r="S271" t="inlineStr">
        <is>
          <t>Ryan</t>
        </is>
      </c>
      <c r="T271" t="inlineStr">
        <is>
          <t>2023-05</t>
        </is>
      </c>
    </row>
    <row r="272">
      <c r="A272" s="16" t="n">
        <v>45442</v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C</t>
        </is>
      </c>
      <c r="G272" t="inlineStr">
        <is>
          <t>Wholesale</t>
        </is>
      </c>
      <c r="H272" t="n">
        <v>0.15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Cust 6468</t>
        </is>
      </c>
      <c r="P272" t="n">
        <v>17.99</v>
      </c>
      <c r="Q272" s="16" t="n">
        <v>45442</v>
      </c>
      <c r="R272" s="16" t="n">
        <v>45449</v>
      </c>
      <c r="S272" t="inlineStr">
        <is>
          <t>Sophie</t>
        </is>
      </c>
      <c r="T272" t="inlineStr">
        <is>
          <t>2024-05</t>
        </is>
      </c>
    </row>
    <row r="273">
      <c r="A273" s="16" t="n">
        <v>45314</v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0.15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n">
        <v/>
      </c>
      <c r="M273" t="n">
        <v>0</v>
      </c>
      <c r="N273" t="inlineStr">
        <is>
          <t>REG100271</t>
        </is>
      </c>
      <c r="O273" t="inlineStr">
        <is>
          <t>Cust 8897</t>
        </is>
      </c>
      <c r="P273" t="n">
        <v>31.22</v>
      </c>
      <c r="Q273" s="16" t="n">
        <v>45314</v>
      </c>
      <c r="R273" s="16" t="n">
        <v>45322</v>
      </c>
      <c r="S273" t="inlineStr">
        <is>
          <t>Wendy</t>
        </is>
      </c>
      <c r="T273" t="inlineStr">
        <is>
          <t>2024-01</t>
        </is>
      </c>
    </row>
    <row r="274">
      <c r="A274" s="16" t="n">
        <v>44963</v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A</t>
        </is>
      </c>
      <c r="G274" t="inlineStr">
        <is>
          <t>Retail</t>
        </is>
      </c>
      <c r="H274" t="n">
        <v>0.15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Cust 9816</t>
        </is>
      </c>
      <c r="P274" t="n">
        <v>33.14</v>
      </c>
      <c r="Q274" s="16" t="n">
        <v>44963</v>
      </c>
      <c r="R274" s="16" t="n">
        <v>44972</v>
      </c>
      <c r="S274" t="inlineStr">
        <is>
          <t>Ryan</t>
        </is>
      </c>
      <c r="T274" t="inlineStr">
        <is>
          <t>2023-02</t>
        </is>
      </c>
    </row>
    <row r="275">
      <c r="A275" s="16" t="n">
        <v>45488</v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B</t>
        </is>
      </c>
      <c r="G275" t="inlineStr">
        <is>
          <t>Wholesale</t>
        </is>
      </c>
      <c r="H275" t="n">
        <v>0.05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Cust 8227</t>
        </is>
      </c>
      <c r="P275" t="n">
        <v>24.48</v>
      </c>
      <c r="Q275" s="16" t="n">
        <v>45488</v>
      </c>
      <c r="R275" s="16" t="n">
        <v>45492</v>
      </c>
      <c r="S275" t="inlineStr">
        <is>
          <t>Wendy</t>
        </is>
      </c>
      <c r="T275" t="inlineStr">
        <is>
          <t>2024-07</t>
        </is>
      </c>
    </row>
    <row r="276">
      <c r="A276" s="16" t="n">
        <v>45722</v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C</t>
        </is>
      </c>
      <c r="G276" t="inlineStr">
        <is>
          <t>Wholesale</t>
        </is>
      </c>
      <c r="H276" t="n">
        <v>0.1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Cust 4990</t>
        </is>
      </c>
      <c r="P276" t="n">
        <v>22.42</v>
      </c>
      <c r="Q276" s="16" t="n">
        <v>45722</v>
      </c>
      <c r="R276" s="16" t="n">
        <v>45732</v>
      </c>
      <c r="S276" t="inlineStr">
        <is>
          <t>Eric</t>
        </is>
      </c>
      <c r="T276" t="inlineStr">
        <is>
          <t>2025-03</t>
        </is>
      </c>
    </row>
    <row r="277">
      <c r="A277" s="16" t="n">
        <v>45136</v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0.1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n">
        <v/>
      </c>
      <c r="M277" t="n">
        <v>0</v>
      </c>
      <c r="N277" t="inlineStr">
        <is>
          <t>REG100275</t>
        </is>
      </c>
      <c r="O277" t="inlineStr">
        <is>
          <t>Cust 5834</t>
        </is>
      </c>
      <c r="P277" t="n">
        <v>42.37</v>
      </c>
      <c r="Q277" s="16" t="n">
        <v>45136</v>
      </c>
      <c r="R277" s="16" t="n">
        <v>45146</v>
      </c>
      <c r="S277" t="inlineStr">
        <is>
          <t>Cameron</t>
        </is>
      </c>
      <c r="T277" t="inlineStr">
        <is>
          <t>2023-07</t>
        </is>
      </c>
    </row>
    <row r="278">
      <c r="A278" s="16" t="n">
        <v>45133</v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D</t>
        </is>
      </c>
      <c r="G278" t="inlineStr">
        <is>
          <t>Retail</t>
        </is>
      </c>
      <c r="H278" t="n">
        <v>0.1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Cust 7330</t>
        </is>
      </c>
      <c r="P278" t="n">
        <v>30.49</v>
      </c>
      <c r="Q278" s="16" t="n">
        <v>45133</v>
      </c>
      <c r="R278" s="16" t="n">
        <v>45136</v>
      </c>
      <c r="S278" t="inlineStr">
        <is>
          <t>Ryan</t>
        </is>
      </c>
      <c r="T278" t="inlineStr">
        <is>
          <t>2023-07</t>
        </is>
      </c>
    </row>
    <row r="279">
      <c r="A279" s="16" t="n">
        <v>45392</v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C</t>
        </is>
      </c>
      <c r="G279" t="inlineStr">
        <is>
          <t>Retail</t>
        </is>
      </c>
      <c r="H279" t="n">
        <v>0.1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Cust 5273</t>
        </is>
      </c>
      <c r="P279" t="n">
        <v>36.04</v>
      </c>
      <c r="Q279" s="16" t="n">
        <v>45392</v>
      </c>
      <c r="R279" s="16" t="n">
        <v>45395</v>
      </c>
      <c r="S279" t="inlineStr">
        <is>
          <t>Wendy</t>
        </is>
      </c>
      <c r="T279" t="inlineStr">
        <is>
          <t>2024-04</t>
        </is>
      </c>
    </row>
    <row r="280">
      <c r="A280" s="16" t="n">
        <v>45681</v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A</t>
        </is>
      </c>
      <c r="G280" t="inlineStr">
        <is>
          <t>Wholesale</t>
        </is>
      </c>
      <c r="H280" t="n">
        <v>0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Cust 6138</t>
        </is>
      </c>
      <c r="P280" t="n">
        <v>7.03</v>
      </c>
      <c r="Q280" s="16" t="n">
        <v>45681</v>
      </c>
      <c r="R280" s="16" t="n">
        <v>45684</v>
      </c>
      <c r="S280" t="inlineStr">
        <is>
          <t>Ryan</t>
        </is>
      </c>
      <c r="T280" t="inlineStr">
        <is>
          <t>2025-01</t>
        </is>
      </c>
    </row>
    <row r="281">
      <c r="A281" s="16" t="n">
        <v>45774</v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B</t>
        </is>
      </c>
      <c r="G281" t="inlineStr">
        <is>
          <t>Wholesale</t>
        </is>
      </c>
      <c r="H281" t="n">
        <v>0.1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Cust 2084</t>
        </is>
      </c>
      <c r="P281" t="n">
        <v>42.34</v>
      </c>
      <c r="Q281" s="16" t="n">
        <v>45774</v>
      </c>
      <c r="R281" s="16" t="n">
        <v>45780</v>
      </c>
      <c r="S281" t="inlineStr">
        <is>
          <t>Wendy</t>
        </is>
      </c>
      <c r="T281" t="inlineStr">
        <is>
          <t>2025-04</t>
        </is>
      </c>
    </row>
    <row r="282">
      <c r="A282" s="16" t="n">
        <v>45708</v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B</t>
        </is>
      </c>
      <c r="G282" t="inlineStr">
        <is>
          <t>Wholesale</t>
        </is>
      </c>
      <c r="H282" t="n">
        <v>0.1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Cust 2799</t>
        </is>
      </c>
      <c r="P282" t="n">
        <v>11.88</v>
      </c>
      <c r="Q282" s="16" t="n">
        <v>45708</v>
      </c>
      <c r="R282" s="16" t="n">
        <v>45711</v>
      </c>
      <c r="S282" t="inlineStr">
        <is>
          <t>Eric</t>
        </is>
      </c>
      <c r="T282" t="inlineStr">
        <is>
          <t>2025-02</t>
        </is>
      </c>
    </row>
    <row r="283">
      <c r="A283" s="16" t="n">
        <v>45183</v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A</t>
        </is>
      </c>
      <c r="G283" t="inlineStr">
        <is>
          <t>Retail</t>
        </is>
      </c>
      <c r="H283" t="n">
        <v>0.15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Cust 5234</t>
        </is>
      </c>
      <c r="P283" t="n">
        <v>28.33</v>
      </c>
      <c r="Q283" s="16" t="n">
        <v>45183</v>
      </c>
      <c r="R283" s="16" t="n">
        <v>45188</v>
      </c>
      <c r="S283" t="inlineStr">
        <is>
          <t>Ryan</t>
        </is>
      </c>
      <c r="T283" t="inlineStr">
        <is>
          <t>2023-09</t>
        </is>
      </c>
    </row>
    <row r="284">
      <c r="A284" s="16" t="n">
        <v>45399</v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C</t>
        </is>
      </c>
      <c r="G284" t="inlineStr">
        <is>
          <t>Wholesale</t>
        </is>
      </c>
      <c r="H284" t="n">
        <v>0.15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Cust 3051</t>
        </is>
      </c>
      <c r="P284" t="n">
        <v>15.74</v>
      </c>
      <c r="Q284" s="16" t="n">
        <v>45399</v>
      </c>
      <c r="R284" s="16" t="n">
        <v>45409</v>
      </c>
      <c r="S284" t="inlineStr">
        <is>
          <t>Wendy</t>
        </is>
      </c>
      <c r="T284" t="inlineStr">
        <is>
          <t>2024-04</t>
        </is>
      </c>
    </row>
    <row r="285">
      <c r="A285" s="16" t="n">
        <v>45610</v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n">
        <v/>
      </c>
      <c r="M285" t="n">
        <v>0</v>
      </c>
      <c r="N285" t="inlineStr">
        <is>
          <t>REG100283</t>
        </is>
      </c>
      <c r="O285" t="inlineStr">
        <is>
          <t>Cust 5456</t>
        </is>
      </c>
      <c r="P285" t="n">
        <v>35.02</v>
      </c>
      <c r="Q285" s="16" t="n">
        <v>45610</v>
      </c>
      <c r="R285" s="16" t="n">
        <v>45614</v>
      </c>
      <c r="S285" t="inlineStr">
        <is>
          <t>Cameron</t>
        </is>
      </c>
      <c r="T285" t="inlineStr">
        <is>
          <t>2024-11</t>
        </is>
      </c>
    </row>
    <row r="286">
      <c r="A286" s="16" t="n">
        <v>45498</v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D</t>
        </is>
      </c>
      <c r="G286" t="inlineStr">
        <is>
          <t>Wholesale</t>
        </is>
      </c>
      <c r="H286" t="n">
        <v>0.1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n">
        <v/>
      </c>
      <c r="M286" t="n">
        <v>0</v>
      </c>
      <c r="N286" t="inlineStr">
        <is>
          <t>REG100284</t>
        </is>
      </c>
      <c r="O286" t="inlineStr">
        <is>
          <t>Cust 6029</t>
        </is>
      </c>
      <c r="P286" t="n">
        <v>45.42</v>
      </c>
      <c r="Q286" s="16" t="n">
        <v>45498</v>
      </c>
      <c r="R286" s="16" t="n">
        <v>45500</v>
      </c>
      <c r="S286" t="inlineStr">
        <is>
          <t>Ryan</t>
        </is>
      </c>
      <c r="T286" t="inlineStr">
        <is>
          <t>2024-07</t>
        </is>
      </c>
    </row>
    <row r="287">
      <c r="A287" s="16" t="n">
        <v>45509</v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0.1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Cust 4002</t>
        </is>
      </c>
      <c r="P287" t="n">
        <v>35.33</v>
      </c>
      <c r="Q287" s="16" t="n">
        <v>45509</v>
      </c>
      <c r="R287" s="16" t="n">
        <v>45519</v>
      </c>
      <c r="S287" t="inlineStr">
        <is>
          <t>Eric</t>
        </is>
      </c>
      <c r="T287" t="inlineStr">
        <is>
          <t>2024-08</t>
        </is>
      </c>
    </row>
    <row r="288">
      <c r="A288" s="16" t="n">
        <v>45680</v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A</t>
        </is>
      </c>
      <c r="G288" t="inlineStr">
        <is>
          <t>Wholesale</t>
        </is>
      </c>
      <c r="H288" t="n">
        <v>0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n">
        <v/>
      </c>
      <c r="M288" t="n">
        <v>1</v>
      </c>
      <c r="N288" t="inlineStr">
        <is>
          <t>REG100286</t>
        </is>
      </c>
      <c r="O288" t="inlineStr">
        <is>
          <t>Cust 5830</t>
        </is>
      </c>
      <c r="P288" t="n">
        <v>25.09</v>
      </c>
      <c r="Q288" s="16" t="n">
        <v>45680</v>
      </c>
      <c r="R288" s="16" t="n">
        <v>45690</v>
      </c>
      <c r="S288" t="inlineStr">
        <is>
          <t>Wendy</t>
        </is>
      </c>
      <c r="T288" t="inlineStr">
        <is>
          <t>2025-01</t>
        </is>
      </c>
    </row>
    <row r="289">
      <c r="A289" s="16" t="n">
        <v>45774</v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A</t>
        </is>
      </c>
      <c r="G289" t="inlineStr">
        <is>
          <t>Wholesale</t>
        </is>
      </c>
      <c r="H289" t="n">
        <v>0.15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Cust 8088</t>
        </is>
      </c>
      <c r="P289" t="n">
        <v>39.39</v>
      </c>
      <c r="Q289" s="16" t="n">
        <v>45774</v>
      </c>
      <c r="R289" s="16" t="n">
        <v>45780</v>
      </c>
      <c r="S289" t="inlineStr">
        <is>
          <t>Wendy</t>
        </is>
      </c>
      <c r="T289" t="inlineStr">
        <is>
          <t>2025-04</t>
        </is>
      </c>
    </row>
    <row r="290">
      <c r="A290" s="16" t="n">
        <v>45555</v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A</t>
        </is>
      </c>
      <c r="G290" t="inlineStr">
        <is>
          <t>Retail</t>
        </is>
      </c>
      <c r="H290" t="n">
        <v>0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Cust 6455</t>
        </is>
      </c>
      <c r="P290" t="n">
        <v>38.61</v>
      </c>
      <c r="Q290" s="16" t="n">
        <v>45555</v>
      </c>
      <c r="R290" s="16" t="n">
        <v>45558</v>
      </c>
      <c r="S290" t="inlineStr">
        <is>
          <t>Sophie</t>
        </is>
      </c>
      <c r="T290" t="inlineStr">
        <is>
          <t>2024-09</t>
        </is>
      </c>
    </row>
    <row r="291">
      <c r="A291" s="16" t="n">
        <v>45177</v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D</t>
        </is>
      </c>
      <c r="G291" t="inlineStr">
        <is>
          <t>Wholesale</t>
        </is>
      </c>
      <c r="H291" t="n">
        <v>0.15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Cust 4117</t>
        </is>
      </c>
      <c r="P291" t="n">
        <v>42.88</v>
      </c>
      <c r="Q291" s="16" t="n">
        <v>45177</v>
      </c>
      <c r="R291" s="16" t="n">
        <v>45184</v>
      </c>
      <c r="S291" t="inlineStr">
        <is>
          <t>Wendy</t>
        </is>
      </c>
      <c r="T291" t="inlineStr">
        <is>
          <t>2023-09</t>
        </is>
      </c>
    </row>
    <row r="292">
      <c r="A292" s="16" t="n">
        <v>45767</v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A</t>
        </is>
      </c>
      <c r="G292" t="inlineStr">
        <is>
          <t>Wholesale</t>
        </is>
      </c>
      <c r="H292" t="n">
        <v>0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n">
        <v/>
      </c>
      <c r="M292" t="n">
        <v>1</v>
      </c>
      <c r="N292" t="inlineStr">
        <is>
          <t>REG100290</t>
        </is>
      </c>
      <c r="O292" t="inlineStr">
        <is>
          <t>Cust 1385</t>
        </is>
      </c>
      <c r="P292" t="n">
        <v>44.09</v>
      </c>
      <c r="Q292" s="16" t="n">
        <v>45767</v>
      </c>
      <c r="R292" s="16" t="n">
        <v>45775</v>
      </c>
      <c r="S292" t="inlineStr">
        <is>
          <t>Sophie</t>
        </is>
      </c>
      <c r="T292" t="inlineStr">
        <is>
          <t>2025-04</t>
        </is>
      </c>
    </row>
    <row r="293">
      <c r="A293" s="16" t="n">
        <v>45463</v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C</t>
        </is>
      </c>
      <c r="G293" t="inlineStr">
        <is>
          <t>Retail</t>
        </is>
      </c>
      <c r="H293" t="n">
        <v>0.1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Cust 5185</t>
        </is>
      </c>
      <c r="P293" t="n">
        <v>17.57</v>
      </c>
      <c r="Q293" s="16" t="n">
        <v>45463</v>
      </c>
      <c r="R293" s="16" t="n">
        <v>45470</v>
      </c>
      <c r="S293" t="inlineStr">
        <is>
          <t>Ryan</t>
        </is>
      </c>
      <c r="T293" t="inlineStr">
        <is>
          <t>2024-06</t>
        </is>
      </c>
    </row>
    <row r="294">
      <c r="A294" s="16" t="n">
        <v>44937</v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D</t>
        </is>
      </c>
      <c r="G294" t="inlineStr">
        <is>
          <t>Retail</t>
        </is>
      </c>
      <c r="H294" t="n">
        <v>0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Cust 8704</t>
        </is>
      </c>
      <c r="P294" t="n">
        <v>49.59</v>
      </c>
      <c r="Q294" s="16" t="n">
        <v>44937</v>
      </c>
      <c r="R294" s="16" t="n">
        <v>44946</v>
      </c>
      <c r="S294" t="inlineStr">
        <is>
          <t>Eric</t>
        </is>
      </c>
      <c r="T294" t="inlineStr">
        <is>
          <t>2023-01</t>
        </is>
      </c>
    </row>
    <row r="295">
      <c r="A295" s="16" t="n">
        <v>45111</v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0.05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n">
        <v/>
      </c>
      <c r="M295" t="n">
        <v>0</v>
      </c>
      <c r="N295" t="inlineStr">
        <is>
          <t>REG100293</t>
        </is>
      </c>
      <c r="O295" t="inlineStr">
        <is>
          <t>Cust 3528</t>
        </is>
      </c>
      <c r="P295" t="n">
        <v>13.84</v>
      </c>
      <c r="Q295" s="16" t="n">
        <v>45111</v>
      </c>
      <c r="R295" s="16" t="n">
        <v>45114</v>
      </c>
      <c r="S295" t="inlineStr">
        <is>
          <t>Ryan</t>
        </is>
      </c>
      <c r="T295" t="inlineStr">
        <is>
          <t>2023-07</t>
        </is>
      </c>
    </row>
    <row r="296">
      <c r="A296" s="16" t="n">
        <v>45724</v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D</t>
        </is>
      </c>
      <c r="G296" t="inlineStr">
        <is>
          <t>Retail</t>
        </is>
      </c>
      <c r="H296" t="n">
        <v>0.15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Cust 3907</t>
        </is>
      </c>
      <c r="P296" t="n">
        <v>42.7</v>
      </c>
      <c r="Q296" s="16" t="n">
        <v>45724</v>
      </c>
      <c r="R296" s="16" t="n">
        <v>45734</v>
      </c>
      <c r="S296" t="inlineStr">
        <is>
          <t>Cameron</t>
        </is>
      </c>
      <c r="T296" t="inlineStr">
        <is>
          <t>2025-03</t>
        </is>
      </c>
    </row>
    <row r="297">
      <c r="A297" s="16" t="n">
        <v>45698</v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0.15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n">
        <v/>
      </c>
      <c r="M297" t="n">
        <v>0</v>
      </c>
      <c r="N297" t="inlineStr">
        <is>
          <t>REG100295</t>
        </is>
      </c>
      <c r="O297" t="inlineStr">
        <is>
          <t>Cust 9005</t>
        </is>
      </c>
      <c r="P297" t="n">
        <v>31.14</v>
      </c>
      <c r="Q297" s="16" t="n">
        <v>45698</v>
      </c>
      <c r="R297" s="16" t="n">
        <v>45700</v>
      </c>
      <c r="S297" t="inlineStr">
        <is>
          <t>Sophie</t>
        </is>
      </c>
      <c r="T297" t="inlineStr">
        <is>
          <t>2025-02</t>
        </is>
      </c>
    </row>
    <row r="298">
      <c r="A298" s="16" t="n">
        <v>45733</v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C</t>
        </is>
      </c>
      <c r="G298" t="inlineStr">
        <is>
          <t>Retail</t>
        </is>
      </c>
      <c r="H298" t="n">
        <v>0.1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Cust 3635</t>
        </is>
      </c>
      <c r="P298" t="n">
        <v>32.96</v>
      </c>
      <c r="Q298" s="16" t="n">
        <v>45733</v>
      </c>
      <c r="R298" s="16" t="n">
        <v>45737</v>
      </c>
      <c r="S298" t="inlineStr">
        <is>
          <t>Wendy</t>
        </is>
      </c>
      <c r="T298" t="inlineStr">
        <is>
          <t>2025-03</t>
        </is>
      </c>
    </row>
    <row r="299">
      <c r="A299" s="16" t="n">
        <v>45239</v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D</t>
        </is>
      </c>
      <c r="G299" t="inlineStr">
        <is>
          <t>Retail</t>
        </is>
      </c>
      <c r="H299" t="n">
        <v>0.05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Cust 2122</t>
        </is>
      </c>
      <c r="P299" t="n">
        <v>32.8</v>
      </c>
      <c r="Q299" s="16" t="n">
        <v>45239</v>
      </c>
      <c r="R299" s="16" t="n">
        <v>45245</v>
      </c>
      <c r="S299" t="inlineStr">
        <is>
          <t>Eric</t>
        </is>
      </c>
      <c r="T299" t="inlineStr">
        <is>
          <t>2023-11</t>
        </is>
      </c>
    </row>
    <row r="300">
      <c r="A300" s="16" t="n">
        <v>45260</v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B</t>
        </is>
      </c>
      <c r="G300" t="inlineStr">
        <is>
          <t>Retail</t>
        </is>
      </c>
      <c r="H300" t="n">
        <v>0.05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n">
        <v/>
      </c>
      <c r="M300" t="n">
        <v>1</v>
      </c>
      <c r="N300" t="inlineStr">
        <is>
          <t>REG100298</t>
        </is>
      </c>
      <c r="O300" t="inlineStr">
        <is>
          <t>Cust 4467</t>
        </is>
      </c>
      <c r="P300" t="n">
        <v>25.3</v>
      </c>
      <c r="Q300" s="16" t="n">
        <v>45260</v>
      </c>
      <c r="R300" s="16" t="n">
        <v>45268</v>
      </c>
      <c r="S300" t="inlineStr">
        <is>
          <t>Cameron</t>
        </is>
      </c>
      <c r="T300" t="inlineStr">
        <is>
          <t>2023-11</t>
        </is>
      </c>
    </row>
    <row r="301">
      <c r="A301" s="16" t="n">
        <v>45519</v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B</t>
        </is>
      </c>
      <c r="G301" t="inlineStr">
        <is>
          <t>Wholesale</t>
        </is>
      </c>
      <c r="H301" t="n">
        <v>0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Cust 6146</t>
        </is>
      </c>
      <c r="P301" t="n">
        <v>21.11</v>
      </c>
      <c r="Q301" s="16" t="n">
        <v>45519</v>
      </c>
      <c r="R301" s="16" t="n">
        <v>45524</v>
      </c>
      <c r="S301" t="inlineStr">
        <is>
          <t>Sophie</t>
        </is>
      </c>
      <c r="T301" t="inlineStr">
        <is>
          <t>2024-08</t>
        </is>
      </c>
    </row>
    <row r="302">
      <c r="A302" s="16" t="n">
        <v>45006</v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0.05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Cust 4001</t>
        </is>
      </c>
      <c r="P302" t="n">
        <v>22.94</v>
      </c>
      <c r="Q302" s="16" t="n">
        <v>45006</v>
      </c>
      <c r="R302" s="16" t="n">
        <v>45011</v>
      </c>
      <c r="S302" t="inlineStr">
        <is>
          <t>Wendy</t>
        </is>
      </c>
      <c r="T302" t="inlineStr">
        <is>
          <t>2023-03</t>
        </is>
      </c>
    </row>
    <row r="303">
      <c r="A303" s="16" t="n">
        <v>45225</v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B</t>
        </is>
      </c>
      <c r="G303" t="inlineStr">
        <is>
          <t>Retail</t>
        </is>
      </c>
      <c r="H303" t="n">
        <v>0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n">
        <v/>
      </c>
      <c r="M303" t="n">
        <v>0</v>
      </c>
      <c r="N303" t="inlineStr">
        <is>
          <t>REG100301</t>
        </is>
      </c>
      <c r="O303" t="inlineStr">
        <is>
          <t>Cust 3365</t>
        </is>
      </c>
      <c r="P303" t="n">
        <v>37.05</v>
      </c>
      <c r="Q303" s="16" t="n">
        <v>45225</v>
      </c>
      <c r="R303" s="16" t="n">
        <v>45230</v>
      </c>
      <c r="S303" t="inlineStr">
        <is>
          <t>Wendy</t>
        </is>
      </c>
      <c r="T303" t="inlineStr">
        <is>
          <t>2023-10</t>
        </is>
      </c>
    </row>
    <row r="304">
      <c r="A304" s="16" t="n">
        <v>45233</v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D</t>
        </is>
      </c>
      <c r="G304" t="inlineStr">
        <is>
          <t>Retail</t>
        </is>
      </c>
      <c r="H304" t="n">
        <v>0.1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Cust 2194</t>
        </is>
      </c>
      <c r="P304" t="n">
        <v>12.18</v>
      </c>
      <c r="Q304" s="16" t="n">
        <v>45233</v>
      </c>
      <c r="R304" s="16" t="n">
        <v>45241</v>
      </c>
      <c r="S304" t="inlineStr">
        <is>
          <t>Wendy</t>
        </is>
      </c>
      <c r="T304" t="inlineStr">
        <is>
          <t>2023-11</t>
        </is>
      </c>
    </row>
    <row r="305">
      <c r="A305" s="16" t="n">
        <v>45687</v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C</t>
        </is>
      </c>
      <c r="G305" t="inlineStr">
        <is>
          <t>Retail</t>
        </is>
      </c>
      <c r="H305" t="n">
        <v>0.15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Cust 7942</t>
        </is>
      </c>
      <c r="P305" t="n">
        <v>13.43</v>
      </c>
      <c r="Q305" s="16" t="n">
        <v>45687</v>
      </c>
      <c r="R305" s="16" t="n">
        <v>45693</v>
      </c>
      <c r="S305" t="inlineStr">
        <is>
          <t>Ryan</t>
        </is>
      </c>
      <c r="T305" t="inlineStr">
        <is>
          <t>2025-01</t>
        </is>
      </c>
    </row>
    <row r="306">
      <c r="A306" s="16" t="n">
        <v>45316</v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0.05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Cust 8451</t>
        </is>
      </c>
      <c r="P306" t="n">
        <v>46.28</v>
      </c>
      <c r="Q306" s="16" t="n">
        <v>45316</v>
      </c>
      <c r="R306" s="16" t="n">
        <v>45325</v>
      </c>
      <c r="S306" t="inlineStr">
        <is>
          <t>Wendy</t>
        </is>
      </c>
      <c r="T306" t="inlineStr">
        <is>
          <t>2024-01</t>
        </is>
      </c>
    </row>
    <row r="307">
      <c r="A307" s="16" t="n">
        <v>45745</v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B</t>
        </is>
      </c>
      <c r="G307" t="inlineStr">
        <is>
          <t>Retail</t>
        </is>
      </c>
      <c r="H307" t="n">
        <v>0.15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Cust 4238</t>
        </is>
      </c>
      <c r="P307" t="n">
        <v>35.02</v>
      </c>
      <c r="Q307" s="16" t="n">
        <v>45745</v>
      </c>
      <c r="R307" s="16" t="n">
        <v>45749</v>
      </c>
      <c r="S307" t="inlineStr">
        <is>
          <t>Sophie</t>
        </is>
      </c>
      <c r="T307" t="inlineStr">
        <is>
          <t>2025-03</t>
        </is>
      </c>
    </row>
    <row r="308">
      <c r="A308" s="16" t="n">
        <v>45598</v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0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Cust 2529</t>
        </is>
      </c>
      <c r="P308" t="n">
        <v>44.69</v>
      </c>
      <c r="Q308" s="16" t="n">
        <v>45598</v>
      </c>
      <c r="R308" s="16" t="n">
        <v>45605</v>
      </c>
      <c r="S308" t="inlineStr">
        <is>
          <t>Cameron</t>
        </is>
      </c>
      <c r="T308" t="inlineStr">
        <is>
          <t>2024-11</t>
        </is>
      </c>
    </row>
    <row r="309">
      <c r="A309" s="16" t="n">
        <v>45473</v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D</t>
        </is>
      </c>
      <c r="G309" t="inlineStr">
        <is>
          <t>Wholesale</t>
        </is>
      </c>
      <c r="H309" t="n">
        <v>0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n">
        <v/>
      </c>
      <c r="M309" t="n">
        <v>0</v>
      </c>
      <c r="N309" t="inlineStr">
        <is>
          <t>REG100307</t>
        </is>
      </c>
      <c r="O309" t="inlineStr">
        <is>
          <t>Cust 7057</t>
        </is>
      </c>
      <c r="P309" t="n">
        <v>35.96</v>
      </c>
      <c r="Q309" s="16" t="n">
        <v>45473</v>
      </c>
      <c r="R309" s="16" t="n">
        <v>45482</v>
      </c>
      <c r="S309" t="inlineStr">
        <is>
          <t>Cameron</t>
        </is>
      </c>
      <c r="T309" t="inlineStr">
        <is>
          <t>2024-06</t>
        </is>
      </c>
    </row>
    <row r="310">
      <c r="A310" s="16" t="n">
        <v>44937</v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D</t>
        </is>
      </c>
      <c r="G310" t="inlineStr">
        <is>
          <t>Retail</t>
        </is>
      </c>
      <c r="H310" t="n">
        <v>0.1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Cust 9069</t>
        </is>
      </c>
      <c r="P310" t="n">
        <v>27.81</v>
      </c>
      <c r="Q310" s="16" t="n">
        <v>44937</v>
      </c>
      <c r="R310" s="16" t="n">
        <v>44945</v>
      </c>
      <c r="S310" t="inlineStr">
        <is>
          <t>Sophie</t>
        </is>
      </c>
      <c r="T310" t="inlineStr">
        <is>
          <t>2023-01</t>
        </is>
      </c>
    </row>
    <row r="311">
      <c r="A311" s="16" t="n">
        <v>45813</v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0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Cust 5858</t>
        </is>
      </c>
      <c r="P311" t="n">
        <v>18.63</v>
      </c>
      <c r="Q311" s="16" t="n">
        <v>45813</v>
      </c>
      <c r="R311" s="16" t="n">
        <v>45822</v>
      </c>
      <c r="S311" t="inlineStr">
        <is>
          <t>Ryan</t>
        </is>
      </c>
      <c r="T311" t="inlineStr">
        <is>
          <t>2025-06</t>
        </is>
      </c>
    </row>
    <row r="312">
      <c r="A312" s="16" t="n">
        <v>45372</v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D</t>
        </is>
      </c>
      <c r="G312" t="inlineStr">
        <is>
          <t>Retail</t>
        </is>
      </c>
      <c r="H312" t="n">
        <v>0.1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Cust 2712</t>
        </is>
      </c>
      <c r="P312" t="n">
        <v>18.77</v>
      </c>
      <c r="Q312" s="16" t="n">
        <v>45372</v>
      </c>
      <c r="R312" s="16" t="n">
        <v>45375</v>
      </c>
      <c r="S312" t="inlineStr">
        <is>
          <t>Ryan</t>
        </is>
      </c>
      <c r="T312" t="inlineStr">
        <is>
          <t>2024-03</t>
        </is>
      </c>
    </row>
    <row r="313">
      <c r="A313" s="16" t="n">
        <v>45169</v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C</t>
        </is>
      </c>
      <c r="G313" t="inlineStr">
        <is>
          <t>Wholesale</t>
        </is>
      </c>
      <c r="H313" t="n">
        <v>0.05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Cust 7052</t>
        </is>
      </c>
      <c r="P313" t="n">
        <v>45.98</v>
      </c>
      <c r="Q313" s="16" t="n">
        <v>45169</v>
      </c>
      <c r="R313" s="16" t="n">
        <v>45177</v>
      </c>
      <c r="S313" t="inlineStr">
        <is>
          <t>Sophie</t>
        </is>
      </c>
      <c r="T313" t="inlineStr">
        <is>
          <t>2023-08</t>
        </is>
      </c>
    </row>
    <row r="314">
      <c r="A314" s="16" t="n">
        <v>45572</v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A</t>
        </is>
      </c>
      <c r="G314" t="inlineStr">
        <is>
          <t>Retail</t>
        </is>
      </c>
      <c r="H314" t="n">
        <v>0.05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Cust 9397</t>
        </is>
      </c>
      <c r="P314" t="n">
        <v>37.38</v>
      </c>
      <c r="Q314" s="16" t="n">
        <v>45572</v>
      </c>
      <c r="R314" s="16" t="n">
        <v>45582</v>
      </c>
      <c r="S314" t="inlineStr">
        <is>
          <t>Sophie</t>
        </is>
      </c>
      <c r="T314" t="inlineStr">
        <is>
          <t>2024-10</t>
        </is>
      </c>
    </row>
    <row r="315">
      <c r="A315" s="16" t="n">
        <v>45028</v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C</t>
        </is>
      </c>
      <c r="G315" t="inlineStr">
        <is>
          <t>Wholesale</t>
        </is>
      </c>
      <c r="H315" t="n">
        <v>0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Cust 4614</t>
        </is>
      </c>
      <c r="P315" t="n">
        <v>33.38</v>
      </c>
      <c r="Q315" s="16" t="n">
        <v>45028</v>
      </c>
      <c r="R315" s="16" t="n">
        <v>45031</v>
      </c>
      <c r="S315" t="inlineStr">
        <is>
          <t>Ryan</t>
        </is>
      </c>
      <c r="T315" t="inlineStr">
        <is>
          <t>2023-04</t>
        </is>
      </c>
    </row>
    <row r="316">
      <c r="A316" s="16" t="n">
        <v>45236</v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0.15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Cust 1573</t>
        </is>
      </c>
      <c r="P316" t="n">
        <v>48.55</v>
      </c>
      <c r="Q316" s="16" t="n">
        <v>45236</v>
      </c>
      <c r="R316" s="16" t="n">
        <v>45246</v>
      </c>
      <c r="S316" t="inlineStr">
        <is>
          <t>Sophie</t>
        </is>
      </c>
      <c r="T316" t="inlineStr">
        <is>
          <t>2023-11</t>
        </is>
      </c>
    </row>
    <row r="317">
      <c r="A317" s="16" t="n">
        <v>45044</v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0.15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Cust 5660</t>
        </is>
      </c>
      <c r="P317" t="n">
        <v>7.78</v>
      </c>
      <c r="Q317" s="16" t="n">
        <v>45044</v>
      </c>
      <c r="R317" s="16" t="n">
        <v>45054</v>
      </c>
      <c r="S317" t="inlineStr">
        <is>
          <t>Wendy</t>
        </is>
      </c>
      <c r="T317" t="inlineStr">
        <is>
          <t>2023-04</t>
        </is>
      </c>
    </row>
    <row r="318">
      <c r="A318" s="16" t="n">
        <v>45278</v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B</t>
        </is>
      </c>
      <c r="G318" t="inlineStr">
        <is>
          <t>Retail</t>
        </is>
      </c>
      <c r="H318" t="n">
        <v>0.1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Cust 3952</t>
        </is>
      </c>
      <c r="P318" t="n">
        <v>34.35</v>
      </c>
      <c r="Q318" s="16" t="n">
        <v>45278</v>
      </c>
      <c r="R318" s="16" t="n">
        <v>45281</v>
      </c>
      <c r="S318" t="inlineStr">
        <is>
          <t>Wendy</t>
        </is>
      </c>
      <c r="T318" t="inlineStr">
        <is>
          <t>2023-12</t>
        </is>
      </c>
    </row>
    <row r="319">
      <c r="A319" s="16" t="n">
        <v>45575</v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A</t>
        </is>
      </c>
      <c r="G319" t="inlineStr">
        <is>
          <t>Retail</t>
        </is>
      </c>
      <c r="H319" t="n">
        <v>0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n">
        <v/>
      </c>
      <c r="M319" t="n">
        <v>0</v>
      </c>
      <c r="N319" t="inlineStr">
        <is>
          <t>REG100317</t>
        </is>
      </c>
      <c r="O319" t="inlineStr">
        <is>
          <t>Cust 5407</t>
        </is>
      </c>
      <c r="P319" t="n">
        <v>43.81</v>
      </c>
      <c r="Q319" s="16" t="n">
        <v>45575</v>
      </c>
      <c r="R319" s="16" t="n">
        <v>45581</v>
      </c>
      <c r="S319" t="inlineStr">
        <is>
          <t>Sophie</t>
        </is>
      </c>
      <c r="T319" t="inlineStr">
        <is>
          <t>2024-10</t>
        </is>
      </c>
    </row>
    <row r="320">
      <c r="A320" s="16" t="n">
        <v>44962</v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B</t>
        </is>
      </c>
      <c r="G320" t="inlineStr">
        <is>
          <t>Retail</t>
        </is>
      </c>
      <c r="H320" t="n">
        <v>0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Cust 9595</t>
        </is>
      </c>
      <c r="P320" t="n">
        <v>18.59</v>
      </c>
      <c r="Q320" s="16" t="n">
        <v>44962</v>
      </c>
      <c r="R320" s="16" t="n">
        <v>44964</v>
      </c>
      <c r="S320" t="inlineStr">
        <is>
          <t>Ryan</t>
        </is>
      </c>
      <c r="T320" t="inlineStr">
        <is>
          <t>2023-02</t>
        </is>
      </c>
    </row>
    <row r="321">
      <c r="A321" s="16" t="n">
        <v>45508</v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0.15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Cust 3245</t>
        </is>
      </c>
      <c r="P321" t="n">
        <v>22.06</v>
      </c>
      <c r="Q321" s="16" t="n">
        <v>45508</v>
      </c>
      <c r="R321" s="16" t="n">
        <v>45518</v>
      </c>
      <c r="S321" t="inlineStr">
        <is>
          <t>Cameron</t>
        </is>
      </c>
      <c r="T321" t="inlineStr">
        <is>
          <t>2024-08</t>
        </is>
      </c>
    </row>
    <row r="322">
      <c r="A322" s="16" t="n">
        <v>45588</v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A</t>
        </is>
      </c>
      <c r="G322" t="inlineStr">
        <is>
          <t>Retail</t>
        </is>
      </c>
      <c r="H322" t="n">
        <v>0.05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Cust 7180</t>
        </is>
      </c>
      <c r="P322" t="n">
        <v>18.39</v>
      </c>
      <c r="Q322" s="16" t="n">
        <v>45588</v>
      </c>
      <c r="R322" s="16" t="n">
        <v>45597</v>
      </c>
      <c r="S322" t="inlineStr">
        <is>
          <t>Cameron</t>
        </is>
      </c>
      <c r="T322" t="inlineStr">
        <is>
          <t>2024-10</t>
        </is>
      </c>
    </row>
    <row r="323">
      <c r="A323" s="16" t="n">
        <v>45335</v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0.05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Cust 5973</t>
        </is>
      </c>
      <c r="P323" t="n">
        <v>5.93</v>
      </c>
      <c r="Q323" s="16" t="n">
        <v>45335</v>
      </c>
      <c r="R323" s="16" t="n">
        <v>45342</v>
      </c>
      <c r="S323" t="inlineStr">
        <is>
          <t>Wendy</t>
        </is>
      </c>
      <c r="T323" t="inlineStr">
        <is>
          <t>2024-02</t>
        </is>
      </c>
    </row>
    <row r="324">
      <c r="A324" s="16" t="n">
        <v>45446</v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C</t>
        </is>
      </c>
      <c r="G324" t="inlineStr">
        <is>
          <t>Retail</t>
        </is>
      </c>
      <c r="H324" t="n">
        <v>0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Cust 4310</t>
        </is>
      </c>
      <c r="P324" t="n">
        <v>36.27</v>
      </c>
      <c r="Q324" s="16" t="n">
        <v>45446</v>
      </c>
      <c r="R324" s="16" t="n">
        <v>45450</v>
      </c>
      <c r="S324" t="inlineStr">
        <is>
          <t>Sophie</t>
        </is>
      </c>
      <c r="T324" t="inlineStr">
        <is>
          <t>2024-06</t>
        </is>
      </c>
    </row>
    <row r="325">
      <c r="A325" s="16" t="n">
        <v>45030</v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A</t>
        </is>
      </c>
      <c r="G325" t="inlineStr">
        <is>
          <t>Retail</t>
        </is>
      </c>
      <c r="H325" t="n">
        <v>0.15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Cust 6243</t>
        </is>
      </c>
      <c r="P325" t="n">
        <v>46.83</v>
      </c>
      <c r="Q325" s="16" t="n">
        <v>45030</v>
      </c>
      <c r="R325" s="16" t="n">
        <v>45034</v>
      </c>
      <c r="S325" t="inlineStr">
        <is>
          <t>Sophie</t>
        </is>
      </c>
      <c r="T325" t="inlineStr">
        <is>
          <t>2023-04</t>
        </is>
      </c>
    </row>
    <row r="326">
      <c r="A326" s="16" t="n">
        <v>45584</v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C</t>
        </is>
      </c>
      <c r="G326" t="inlineStr">
        <is>
          <t>Retail</t>
        </is>
      </c>
      <c r="H326" t="n">
        <v>0.05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n">
        <v/>
      </c>
      <c r="M326" t="n">
        <v>0</v>
      </c>
      <c r="N326" t="inlineStr">
        <is>
          <t>REG100324</t>
        </is>
      </c>
      <c r="O326" t="inlineStr">
        <is>
          <t>Cust 2448</t>
        </is>
      </c>
      <c r="P326" t="n">
        <v>47.61</v>
      </c>
      <c r="Q326" s="16" t="n">
        <v>45584</v>
      </c>
      <c r="R326" s="16" t="n">
        <v>45588</v>
      </c>
      <c r="S326" t="inlineStr">
        <is>
          <t>Cameron</t>
        </is>
      </c>
      <c r="T326" t="inlineStr">
        <is>
          <t>2024-10</t>
        </is>
      </c>
    </row>
    <row r="327">
      <c r="A327" s="16" t="n">
        <v>45278</v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0.05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Cust 9386</t>
        </is>
      </c>
      <c r="P327" t="n">
        <v>44.78</v>
      </c>
      <c r="Q327" s="16" t="n">
        <v>45278</v>
      </c>
      <c r="R327" s="16" t="n">
        <v>45282</v>
      </c>
      <c r="S327" t="inlineStr">
        <is>
          <t>Sophie</t>
        </is>
      </c>
      <c r="T327" t="inlineStr">
        <is>
          <t>2023-12</t>
        </is>
      </c>
    </row>
    <row r="328">
      <c r="A328" s="16" t="n">
        <v>45169</v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A</t>
        </is>
      </c>
      <c r="G328" t="inlineStr">
        <is>
          <t>Wholesale</t>
        </is>
      </c>
      <c r="H328" t="n">
        <v>0.15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Cust 2227</t>
        </is>
      </c>
      <c r="P328" t="n">
        <v>36.98</v>
      </c>
      <c r="Q328" s="16" t="n">
        <v>45169</v>
      </c>
      <c r="R328" s="16" t="n">
        <v>45175</v>
      </c>
      <c r="S328" t="inlineStr">
        <is>
          <t>Ryan</t>
        </is>
      </c>
      <c r="T328" t="inlineStr">
        <is>
          <t>2023-08</t>
        </is>
      </c>
    </row>
    <row r="329">
      <c r="A329" s="16" t="n">
        <v>45188</v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D</t>
        </is>
      </c>
      <c r="G329" t="inlineStr">
        <is>
          <t>Retail</t>
        </is>
      </c>
      <c r="H329" t="n">
        <v>0.15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n">
        <v/>
      </c>
      <c r="M329" t="n">
        <v>0</v>
      </c>
      <c r="N329" t="inlineStr">
        <is>
          <t>REG100327</t>
        </is>
      </c>
      <c r="O329" t="inlineStr">
        <is>
          <t>Cust 3803</t>
        </is>
      </c>
      <c r="P329" t="n">
        <v>25.88</v>
      </c>
      <c r="Q329" s="16" t="n">
        <v>45188</v>
      </c>
      <c r="R329" s="16" t="n">
        <v>45195</v>
      </c>
      <c r="S329" t="inlineStr">
        <is>
          <t>Sophie</t>
        </is>
      </c>
      <c r="T329" t="inlineStr">
        <is>
          <t>2023-09</t>
        </is>
      </c>
    </row>
    <row r="330">
      <c r="A330" s="16" t="n">
        <v>44984</v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0.15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Cust 1236</t>
        </is>
      </c>
      <c r="P330" t="n">
        <v>14.59</v>
      </c>
      <c r="Q330" s="16" t="n">
        <v>44984</v>
      </c>
      <c r="R330" s="16" t="n">
        <v>44989</v>
      </c>
      <c r="S330" t="inlineStr">
        <is>
          <t>Cameron</t>
        </is>
      </c>
      <c r="T330" t="inlineStr">
        <is>
          <t>2023-02</t>
        </is>
      </c>
    </row>
    <row r="331">
      <c r="A331" s="16" t="n">
        <v>45319</v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D</t>
        </is>
      </c>
      <c r="G331" t="inlineStr">
        <is>
          <t>Wholesale</t>
        </is>
      </c>
      <c r="H331" t="n">
        <v>0.1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Cust 2669</t>
        </is>
      </c>
      <c r="P331" t="n">
        <v>20.11</v>
      </c>
      <c r="Q331" s="16" t="n">
        <v>45319</v>
      </c>
      <c r="R331" s="16" t="n">
        <v>45322</v>
      </c>
      <c r="S331" t="inlineStr">
        <is>
          <t>Sophie</t>
        </is>
      </c>
      <c r="T331" t="inlineStr">
        <is>
          <t>2024-01</t>
        </is>
      </c>
    </row>
    <row r="332">
      <c r="A332" s="16" t="n">
        <v>45783</v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0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Cust 3746</t>
        </is>
      </c>
      <c r="P332" t="n">
        <v>13.31</v>
      </c>
      <c r="Q332" s="16" t="n">
        <v>45783</v>
      </c>
      <c r="R332" s="16" t="n">
        <v>45787</v>
      </c>
      <c r="S332" t="inlineStr">
        <is>
          <t>Sophie</t>
        </is>
      </c>
      <c r="T332" t="inlineStr">
        <is>
          <t>2025-05</t>
        </is>
      </c>
    </row>
    <row r="333">
      <c r="A333" s="16" t="n">
        <v>45548</v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0.05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Cust 9694</t>
        </is>
      </c>
      <c r="P333" t="n">
        <v>26.39</v>
      </c>
      <c r="Q333" s="16" t="n">
        <v>45548</v>
      </c>
      <c r="R333" s="16" t="n">
        <v>45550</v>
      </c>
      <c r="S333" t="inlineStr">
        <is>
          <t>Eric</t>
        </is>
      </c>
      <c r="T333" t="inlineStr">
        <is>
          <t>2024-09</t>
        </is>
      </c>
    </row>
    <row r="334">
      <c r="A334" s="16" t="n">
        <v>45071</v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0.1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n">
        <v/>
      </c>
      <c r="M334" t="n">
        <v>1</v>
      </c>
      <c r="N334" t="inlineStr">
        <is>
          <t>REG100332</t>
        </is>
      </c>
      <c r="O334" t="inlineStr">
        <is>
          <t>Cust 4993</t>
        </is>
      </c>
      <c r="P334" t="n">
        <v>19.58</v>
      </c>
      <c r="Q334" s="16" t="n">
        <v>45071</v>
      </c>
      <c r="R334" s="16" t="n">
        <v>45075</v>
      </c>
      <c r="S334" t="inlineStr">
        <is>
          <t>Eric</t>
        </is>
      </c>
      <c r="T334" t="inlineStr">
        <is>
          <t>2023-05</t>
        </is>
      </c>
    </row>
    <row r="335">
      <c r="A335" s="16" t="n">
        <v>45561</v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C</t>
        </is>
      </c>
      <c r="G335" t="inlineStr">
        <is>
          <t>Retail</t>
        </is>
      </c>
      <c r="H335" t="n">
        <v>0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Cust 1271</t>
        </is>
      </c>
      <c r="P335" t="n">
        <v>8.359999999999999</v>
      </c>
      <c r="Q335" s="16" t="n">
        <v>45561</v>
      </c>
      <c r="R335" s="16" t="n">
        <v>45566</v>
      </c>
      <c r="S335" t="inlineStr">
        <is>
          <t>Sophie</t>
        </is>
      </c>
      <c r="T335" t="inlineStr">
        <is>
          <t>2024-09</t>
        </is>
      </c>
    </row>
    <row r="336">
      <c r="A336" s="16" t="n">
        <v>44970</v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0.05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n">
        <v/>
      </c>
      <c r="M336" t="n">
        <v>0</v>
      </c>
      <c r="N336" t="inlineStr">
        <is>
          <t>REG100334</t>
        </is>
      </c>
      <c r="O336" t="inlineStr">
        <is>
          <t>Cust 3042</t>
        </is>
      </c>
      <c r="P336" t="n">
        <v>9.970000000000001</v>
      </c>
      <c r="Q336" s="16" t="n">
        <v>44970</v>
      </c>
      <c r="R336" s="16" t="n">
        <v>44975</v>
      </c>
      <c r="S336" t="inlineStr">
        <is>
          <t>Sophie</t>
        </is>
      </c>
      <c r="T336" t="inlineStr">
        <is>
          <t>2023-02</t>
        </is>
      </c>
    </row>
    <row r="337">
      <c r="A337" s="16" t="n">
        <v>45463</v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C</t>
        </is>
      </c>
      <c r="G337" t="inlineStr">
        <is>
          <t>Wholesale</t>
        </is>
      </c>
      <c r="H337" t="n">
        <v>0.1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n">
        <v/>
      </c>
      <c r="M337" t="n">
        <v>1</v>
      </c>
      <c r="N337" t="inlineStr">
        <is>
          <t>REG100335</t>
        </is>
      </c>
      <c r="O337" t="inlineStr">
        <is>
          <t>Cust 6424</t>
        </is>
      </c>
      <c r="P337" t="n">
        <v>41.48</v>
      </c>
      <c r="Q337" s="16" t="n">
        <v>45463</v>
      </c>
      <c r="R337" s="16" t="n">
        <v>45470</v>
      </c>
      <c r="S337" t="inlineStr">
        <is>
          <t>Cameron</t>
        </is>
      </c>
      <c r="T337" t="inlineStr">
        <is>
          <t>2024-06</t>
        </is>
      </c>
    </row>
    <row r="338">
      <c r="A338" s="16" t="n">
        <v>45373</v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D</t>
        </is>
      </c>
      <c r="G338" t="inlineStr">
        <is>
          <t>Retail</t>
        </is>
      </c>
      <c r="H338" t="n">
        <v>0.05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Cust 1422</t>
        </is>
      </c>
      <c r="P338" t="n">
        <v>5.91</v>
      </c>
      <c r="Q338" s="16" t="n">
        <v>45373</v>
      </c>
      <c r="R338" s="16" t="n">
        <v>45376</v>
      </c>
      <c r="S338" t="inlineStr">
        <is>
          <t>Wendy</t>
        </is>
      </c>
      <c r="T338" t="inlineStr">
        <is>
          <t>2024-03</t>
        </is>
      </c>
    </row>
    <row r="339">
      <c r="A339" s="16" t="n">
        <v>45330</v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B</t>
        </is>
      </c>
      <c r="G339" t="inlineStr">
        <is>
          <t>Wholesale</t>
        </is>
      </c>
      <c r="H339" t="n">
        <v>0.1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n">
        <v/>
      </c>
      <c r="M339" t="n">
        <v>1</v>
      </c>
      <c r="N339" t="inlineStr">
        <is>
          <t>REG100337</t>
        </is>
      </c>
      <c r="O339" t="inlineStr">
        <is>
          <t>Cust 5857</t>
        </is>
      </c>
      <c r="P339" t="n">
        <v>22.65</v>
      </c>
      <c r="Q339" s="16" t="n">
        <v>45330</v>
      </c>
      <c r="R339" s="16" t="n">
        <v>45333</v>
      </c>
      <c r="S339" t="inlineStr">
        <is>
          <t>Wendy</t>
        </is>
      </c>
      <c r="T339" t="inlineStr">
        <is>
          <t>2024-02</t>
        </is>
      </c>
    </row>
    <row r="340">
      <c r="A340" s="16" t="n">
        <v>45444</v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B</t>
        </is>
      </c>
      <c r="G340" t="inlineStr">
        <is>
          <t>Retail</t>
        </is>
      </c>
      <c r="H340" t="n">
        <v>0.1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Cust 6953</t>
        </is>
      </c>
      <c r="P340" t="n">
        <v>7.72</v>
      </c>
      <c r="Q340" s="16" t="n">
        <v>45444</v>
      </c>
      <c r="R340" s="16" t="n">
        <v>45447</v>
      </c>
      <c r="S340" t="inlineStr">
        <is>
          <t>Eric</t>
        </is>
      </c>
      <c r="T340" t="inlineStr">
        <is>
          <t>2024-06</t>
        </is>
      </c>
    </row>
    <row r="341">
      <c r="A341" s="16" t="n">
        <v>45438</v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C</t>
        </is>
      </c>
      <c r="G341" t="inlineStr">
        <is>
          <t>Wholesale</t>
        </is>
      </c>
      <c r="H341" t="n">
        <v>0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Cust 2916</t>
        </is>
      </c>
      <c r="P341" t="n">
        <v>17.06</v>
      </c>
      <c r="Q341" s="16" t="n">
        <v>45438</v>
      </c>
      <c r="R341" s="16" t="n">
        <v>45444</v>
      </c>
      <c r="S341" t="inlineStr">
        <is>
          <t>Ryan</t>
        </is>
      </c>
      <c r="T341" t="inlineStr">
        <is>
          <t>2024-05</t>
        </is>
      </c>
    </row>
    <row r="342">
      <c r="A342" s="16" t="n">
        <v>45468</v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A</t>
        </is>
      </c>
      <c r="G342" t="inlineStr">
        <is>
          <t>Wholesale</t>
        </is>
      </c>
      <c r="H342" t="n">
        <v>0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Cust 6855</t>
        </is>
      </c>
      <c r="P342" t="n">
        <v>33.99</v>
      </c>
      <c r="Q342" s="16" t="n">
        <v>45468</v>
      </c>
      <c r="R342" s="16" t="n">
        <v>45473</v>
      </c>
      <c r="S342" t="inlineStr">
        <is>
          <t>Eric</t>
        </is>
      </c>
      <c r="T342" t="inlineStr">
        <is>
          <t>2024-06</t>
        </is>
      </c>
    </row>
    <row r="343">
      <c r="A343" s="16" t="n">
        <v>45320</v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0.1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n">
        <v/>
      </c>
      <c r="M343" t="n">
        <v>0</v>
      </c>
      <c r="N343" t="inlineStr">
        <is>
          <t>REG100341</t>
        </is>
      </c>
      <c r="O343" t="inlineStr">
        <is>
          <t>Cust 8464</t>
        </is>
      </c>
      <c r="P343" t="n">
        <v>47.86</v>
      </c>
      <c r="Q343" s="16" t="n">
        <v>45320</v>
      </c>
      <c r="R343" s="16" t="n">
        <v>45329</v>
      </c>
      <c r="S343" t="inlineStr">
        <is>
          <t>Cameron</t>
        </is>
      </c>
      <c r="T343" t="inlineStr">
        <is>
          <t>2024-01</t>
        </is>
      </c>
    </row>
    <row r="344">
      <c r="A344" s="16" t="n">
        <v>45633</v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B</t>
        </is>
      </c>
      <c r="G344" t="inlineStr">
        <is>
          <t>Retail</t>
        </is>
      </c>
      <c r="H344" t="n">
        <v>0.05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Cust 9700</t>
        </is>
      </c>
      <c r="P344" t="n">
        <v>18.1</v>
      </c>
      <c r="Q344" s="16" t="n">
        <v>45633</v>
      </c>
      <c r="R344" s="16" t="n">
        <v>45635</v>
      </c>
      <c r="S344" t="inlineStr">
        <is>
          <t>Sophie</t>
        </is>
      </c>
      <c r="T344" t="inlineStr">
        <is>
          <t>2024-12</t>
        </is>
      </c>
    </row>
    <row r="345">
      <c r="A345" s="16" t="n">
        <v>45251</v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0.15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Cust 7765</t>
        </is>
      </c>
      <c r="P345" t="n">
        <v>39.35</v>
      </c>
      <c r="Q345" s="16" t="n">
        <v>45251</v>
      </c>
      <c r="R345" s="16" t="n">
        <v>45256</v>
      </c>
      <c r="S345" t="inlineStr">
        <is>
          <t>Wendy</t>
        </is>
      </c>
      <c r="T345" t="inlineStr">
        <is>
          <t>2023-11</t>
        </is>
      </c>
    </row>
    <row r="346">
      <c r="A346" s="16" t="n">
        <v>45642</v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0.1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Cust 8246</t>
        </is>
      </c>
      <c r="P346" t="n">
        <v>5.22</v>
      </c>
      <c r="Q346" s="16" t="n">
        <v>45642</v>
      </c>
      <c r="R346" s="16" t="n">
        <v>45650</v>
      </c>
      <c r="S346" t="inlineStr">
        <is>
          <t>Ryan</t>
        </is>
      </c>
      <c r="T346" t="inlineStr">
        <is>
          <t>2024-12</t>
        </is>
      </c>
    </row>
    <row r="347">
      <c r="A347" s="16" t="n">
        <v>45143</v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C</t>
        </is>
      </c>
      <c r="G347" t="inlineStr">
        <is>
          <t>Retail</t>
        </is>
      </c>
      <c r="H347" t="n">
        <v>0.05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Cust 6500</t>
        </is>
      </c>
      <c r="P347" t="n">
        <v>28.65</v>
      </c>
      <c r="Q347" s="16" t="n">
        <v>45143</v>
      </c>
      <c r="R347" s="16" t="n">
        <v>45153</v>
      </c>
      <c r="S347" t="inlineStr">
        <is>
          <t>Cameron</t>
        </is>
      </c>
      <c r="T347" t="inlineStr">
        <is>
          <t>2023-08</t>
        </is>
      </c>
    </row>
    <row r="348">
      <c r="A348" s="16" t="n">
        <v>45168</v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D</t>
        </is>
      </c>
      <c r="G348" t="inlineStr">
        <is>
          <t>Retail</t>
        </is>
      </c>
      <c r="H348" t="n">
        <v>0.1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Cust 1150</t>
        </is>
      </c>
      <c r="P348" t="n">
        <v>5.29</v>
      </c>
      <c r="Q348" s="16" t="n">
        <v>45168</v>
      </c>
      <c r="R348" s="16" t="n">
        <v>45175</v>
      </c>
      <c r="S348" t="inlineStr">
        <is>
          <t>Cameron</t>
        </is>
      </c>
      <c r="T348" t="inlineStr">
        <is>
          <t>2023-08</t>
        </is>
      </c>
    </row>
    <row r="349">
      <c r="A349" s="16" t="n">
        <v>45741</v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D</t>
        </is>
      </c>
      <c r="G349" t="inlineStr">
        <is>
          <t>Wholesale</t>
        </is>
      </c>
      <c r="H349" t="n">
        <v>0.15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Cust 7449</t>
        </is>
      </c>
      <c r="P349" t="n">
        <v>8.220000000000001</v>
      </c>
      <c r="Q349" s="16" t="n">
        <v>45741</v>
      </c>
      <c r="R349" s="16" t="n">
        <v>45743</v>
      </c>
      <c r="S349" t="inlineStr">
        <is>
          <t>Eric</t>
        </is>
      </c>
      <c r="T349" t="inlineStr">
        <is>
          <t>2025-03</t>
        </is>
      </c>
    </row>
    <row r="350">
      <c r="A350" s="16" t="n">
        <v>45639</v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C</t>
        </is>
      </c>
      <c r="G350" t="inlineStr">
        <is>
          <t>Wholesale</t>
        </is>
      </c>
      <c r="H350" t="n">
        <v>0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Cust 1957</t>
        </is>
      </c>
      <c r="P350" t="n">
        <v>43.69</v>
      </c>
      <c r="Q350" s="16" t="n">
        <v>45639</v>
      </c>
      <c r="R350" s="16" t="n">
        <v>45648</v>
      </c>
      <c r="S350" t="inlineStr">
        <is>
          <t>Ryan</t>
        </is>
      </c>
      <c r="T350" t="inlineStr">
        <is>
          <t>2024-12</t>
        </is>
      </c>
    </row>
    <row r="351">
      <c r="A351" s="16" t="n">
        <v>45176</v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A</t>
        </is>
      </c>
      <c r="G351" t="inlineStr">
        <is>
          <t>Retail</t>
        </is>
      </c>
      <c r="H351" t="n">
        <v>0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n">
        <v/>
      </c>
      <c r="M351" t="n">
        <v>1</v>
      </c>
      <c r="N351" t="inlineStr">
        <is>
          <t>REG100349</t>
        </is>
      </c>
      <c r="O351" t="inlineStr">
        <is>
          <t>Cust 3467</t>
        </is>
      </c>
      <c r="P351" t="n">
        <v>48.02</v>
      </c>
      <c r="Q351" s="16" t="n">
        <v>45176</v>
      </c>
      <c r="R351" s="16" t="n">
        <v>45183</v>
      </c>
      <c r="S351" t="inlineStr">
        <is>
          <t>Cameron</t>
        </is>
      </c>
      <c r="T351" t="inlineStr">
        <is>
          <t>2023-09</t>
        </is>
      </c>
    </row>
    <row r="352">
      <c r="A352" s="16" t="n">
        <v>45272</v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0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Cust 5212</t>
        </is>
      </c>
      <c r="P352" t="n">
        <v>42.33</v>
      </c>
      <c r="Q352" s="16" t="n">
        <v>45272</v>
      </c>
      <c r="R352" s="16" t="n">
        <v>45281</v>
      </c>
      <c r="S352" t="inlineStr">
        <is>
          <t>Ryan</t>
        </is>
      </c>
      <c r="T352" t="inlineStr">
        <is>
          <t>2023-12</t>
        </is>
      </c>
    </row>
    <row r="353">
      <c r="A353" s="16" t="n">
        <v>45407</v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0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Cust 3509</t>
        </is>
      </c>
      <c r="P353" t="n">
        <v>32.77</v>
      </c>
      <c r="Q353" s="16" t="n">
        <v>45407</v>
      </c>
      <c r="R353" s="16" t="n">
        <v>45417</v>
      </c>
      <c r="S353" t="inlineStr">
        <is>
          <t>Eric</t>
        </is>
      </c>
      <c r="T353" t="inlineStr">
        <is>
          <t>2024-04</t>
        </is>
      </c>
    </row>
    <row r="354">
      <c r="A354" s="16" t="n">
        <v>45781</v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A</t>
        </is>
      </c>
      <c r="G354" t="inlineStr">
        <is>
          <t>Wholesale</t>
        </is>
      </c>
      <c r="H354" t="n">
        <v>0.15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n">
        <v/>
      </c>
      <c r="M354" t="n">
        <v>0</v>
      </c>
      <c r="N354" t="inlineStr">
        <is>
          <t>REG100352</t>
        </is>
      </c>
      <c r="O354" t="inlineStr">
        <is>
          <t>Cust 5316</t>
        </is>
      </c>
      <c r="P354" t="n">
        <v>10.46</v>
      </c>
      <c r="Q354" s="16" t="n">
        <v>45781</v>
      </c>
      <c r="R354" s="16" t="n">
        <v>45784</v>
      </c>
      <c r="S354" t="inlineStr">
        <is>
          <t>Ryan</t>
        </is>
      </c>
      <c r="T354" t="inlineStr">
        <is>
          <t>2025-05</t>
        </is>
      </c>
    </row>
    <row r="355">
      <c r="A355" s="16" t="n">
        <v>45185</v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C</t>
        </is>
      </c>
      <c r="G355" t="inlineStr">
        <is>
          <t>Wholesale</t>
        </is>
      </c>
      <c r="H355" t="n">
        <v>0.05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Cust 9919</t>
        </is>
      </c>
      <c r="P355" t="n">
        <v>47.56</v>
      </c>
      <c r="Q355" s="16" t="n">
        <v>45185</v>
      </c>
      <c r="R355" s="16" t="n">
        <v>45189</v>
      </c>
      <c r="S355" t="inlineStr">
        <is>
          <t>Sophie</t>
        </is>
      </c>
      <c r="T355" t="inlineStr">
        <is>
          <t>2023-09</t>
        </is>
      </c>
    </row>
    <row r="356">
      <c r="A356" s="16" t="n">
        <v>45588</v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D</t>
        </is>
      </c>
      <c r="G356" t="inlineStr">
        <is>
          <t>Retail</t>
        </is>
      </c>
      <c r="H356" t="n">
        <v>0.1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Cust 7129</t>
        </is>
      </c>
      <c r="P356" t="n">
        <v>37.53</v>
      </c>
      <c r="Q356" s="16" t="n">
        <v>45588</v>
      </c>
      <c r="R356" s="16" t="n">
        <v>45591</v>
      </c>
      <c r="S356" t="inlineStr">
        <is>
          <t>Wendy</t>
        </is>
      </c>
      <c r="T356" t="inlineStr">
        <is>
          <t>2024-10</t>
        </is>
      </c>
    </row>
    <row r="357">
      <c r="A357" s="16" t="n">
        <v>45049</v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D</t>
        </is>
      </c>
      <c r="G357" t="inlineStr">
        <is>
          <t>Retail</t>
        </is>
      </c>
      <c r="H357" t="n">
        <v>0.1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n">
        <v/>
      </c>
      <c r="M357" t="n">
        <v>1</v>
      </c>
      <c r="N357" t="inlineStr">
        <is>
          <t>REG100355</t>
        </is>
      </c>
      <c r="O357" t="inlineStr">
        <is>
          <t>Cust 9841</t>
        </is>
      </c>
      <c r="P357" t="n">
        <v>46.37</v>
      </c>
      <c r="Q357" s="16" t="n">
        <v>45049</v>
      </c>
      <c r="R357" s="16" t="n">
        <v>45052</v>
      </c>
      <c r="S357" t="inlineStr">
        <is>
          <t>Ryan</t>
        </is>
      </c>
      <c r="T357" t="inlineStr">
        <is>
          <t>2023-05</t>
        </is>
      </c>
    </row>
    <row r="358">
      <c r="A358" s="16" t="n">
        <v>45734</v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B</t>
        </is>
      </c>
      <c r="G358" t="inlineStr">
        <is>
          <t>Wholesale</t>
        </is>
      </c>
      <c r="H358" t="n">
        <v>0.15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Cust 6362</t>
        </is>
      </c>
      <c r="P358" t="n">
        <v>22.13</v>
      </c>
      <c r="Q358" s="16" t="n">
        <v>45734</v>
      </c>
      <c r="R358" s="16" t="n">
        <v>45741</v>
      </c>
      <c r="S358" t="inlineStr">
        <is>
          <t>Ryan</t>
        </is>
      </c>
      <c r="T358" t="inlineStr">
        <is>
          <t>2025-03</t>
        </is>
      </c>
    </row>
    <row r="359">
      <c r="A359" s="16" t="n">
        <v>45163</v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B</t>
        </is>
      </c>
      <c r="G359" t="inlineStr">
        <is>
          <t>Retail</t>
        </is>
      </c>
      <c r="H359" t="n">
        <v>0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Cust 4142</t>
        </is>
      </c>
      <c r="P359" t="n">
        <v>10.57</v>
      </c>
      <c r="Q359" s="16" t="n">
        <v>45163</v>
      </c>
      <c r="R359" s="16" t="n">
        <v>45165</v>
      </c>
      <c r="S359" t="inlineStr">
        <is>
          <t>Wendy</t>
        </is>
      </c>
      <c r="T359" t="inlineStr">
        <is>
          <t>2023-08</t>
        </is>
      </c>
    </row>
    <row r="360">
      <c r="A360" s="16" t="n">
        <v>45120</v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C</t>
        </is>
      </c>
      <c r="G360" t="inlineStr">
        <is>
          <t>Retail</t>
        </is>
      </c>
      <c r="H360" t="n">
        <v>0.1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Cust 9584</t>
        </is>
      </c>
      <c r="P360" t="n">
        <v>11.17</v>
      </c>
      <c r="Q360" s="16" t="n">
        <v>45120</v>
      </c>
      <c r="R360" s="16" t="n">
        <v>45124</v>
      </c>
      <c r="S360" t="inlineStr">
        <is>
          <t>Ryan</t>
        </is>
      </c>
      <c r="T360" t="inlineStr">
        <is>
          <t>2023-07</t>
        </is>
      </c>
    </row>
    <row r="361">
      <c r="A361" s="16" t="n">
        <v>45713</v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0.1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Cust 2553</t>
        </is>
      </c>
      <c r="P361" t="n">
        <v>7.9</v>
      </c>
      <c r="Q361" s="16" t="n">
        <v>45713</v>
      </c>
      <c r="R361" s="16" t="n">
        <v>45722</v>
      </c>
      <c r="S361" t="inlineStr">
        <is>
          <t>Ryan</t>
        </is>
      </c>
      <c r="T361" t="inlineStr">
        <is>
          <t>2025-02</t>
        </is>
      </c>
    </row>
    <row r="362">
      <c r="A362" s="16" t="n">
        <v>45761</v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B</t>
        </is>
      </c>
      <c r="G362" t="inlineStr">
        <is>
          <t>Wholesale</t>
        </is>
      </c>
      <c r="H362" t="n">
        <v>0.1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Cust 1347</t>
        </is>
      </c>
      <c r="P362" t="n">
        <v>41.5</v>
      </c>
      <c r="Q362" s="16" t="n">
        <v>45761</v>
      </c>
      <c r="R362" s="16" t="n">
        <v>45764</v>
      </c>
      <c r="S362" t="inlineStr">
        <is>
          <t>Cameron</t>
        </is>
      </c>
      <c r="T362" t="inlineStr">
        <is>
          <t>2025-04</t>
        </is>
      </c>
    </row>
    <row r="363">
      <c r="A363" s="16" t="n">
        <v>45823</v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C</t>
        </is>
      </c>
      <c r="G363" t="inlineStr">
        <is>
          <t>Retail</t>
        </is>
      </c>
      <c r="H363" t="n">
        <v>0.05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Cust 8305</t>
        </is>
      </c>
      <c r="P363" t="n">
        <v>10.58</v>
      </c>
      <c r="Q363" s="16" t="n">
        <v>45823</v>
      </c>
      <c r="R363" s="16" t="n">
        <v>45826</v>
      </c>
      <c r="S363" t="inlineStr">
        <is>
          <t>Cameron</t>
        </is>
      </c>
      <c r="T363" t="inlineStr">
        <is>
          <t>2025-06</t>
        </is>
      </c>
    </row>
    <row r="364">
      <c r="A364" s="16" t="n">
        <v>45587</v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D</t>
        </is>
      </c>
      <c r="G364" t="inlineStr">
        <is>
          <t>Retail</t>
        </is>
      </c>
      <c r="H364" t="n">
        <v>0.1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Cust 7015</t>
        </is>
      </c>
      <c r="P364" t="n">
        <v>20.39</v>
      </c>
      <c r="Q364" s="16" t="n">
        <v>45587</v>
      </c>
      <c r="R364" s="16" t="n">
        <v>45592</v>
      </c>
      <c r="S364" t="inlineStr">
        <is>
          <t>Ryan</t>
        </is>
      </c>
      <c r="T364" t="inlineStr">
        <is>
          <t>2024-10</t>
        </is>
      </c>
    </row>
    <row r="365">
      <c r="A365" s="16" t="n">
        <v>45097</v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D</t>
        </is>
      </c>
      <c r="G365" t="inlineStr">
        <is>
          <t>Wholesale</t>
        </is>
      </c>
      <c r="H365" t="n">
        <v>0.05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n">
        <v/>
      </c>
      <c r="M365" t="n">
        <v>0</v>
      </c>
      <c r="N365" t="inlineStr">
        <is>
          <t>REG100363</t>
        </is>
      </c>
      <c r="O365" t="inlineStr">
        <is>
          <t>Cust 4394</t>
        </is>
      </c>
      <c r="P365" t="n">
        <v>49.79</v>
      </c>
      <c r="Q365" s="16" t="n">
        <v>45097</v>
      </c>
      <c r="R365" s="16" t="n">
        <v>45102</v>
      </c>
      <c r="S365" t="inlineStr">
        <is>
          <t>Sophie</t>
        </is>
      </c>
      <c r="T365" t="inlineStr">
        <is>
          <t>2023-06</t>
        </is>
      </c>
    </row>
    <row r="366">
      <c r="A366" s="16" t="n">
        <v>45721</v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C</t>
        </is>
      </c>
      <c r="G366" t="inlineStr">
        <is>
          <t>Wholesale</t>
        </is>
      </c>
      <c r="H366" t="n">
        <v>0.05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n">
        <v/>
      </c>
      <c r="M366" t="n">
        <v>0</v>
      </c>
      <c r="N366" t="inlineStr">
        <is>
          <t>REG100364</t>
        </is>
      </c>
      <c r="O366" t="inlineStr">
        <is>
          <t>Cust 3323</t>
        </is>
      </c>
      <c r="P366" t="n">
        <v>39.28</v>
      </c>
      <c r="Q366" s="16" t="n">
        <v>45721</v>
      </c>
      <c r="R366" s="16" t="n">
        <v>45727</v>
      </c>
      <c r="S366" t="inlineStr">
        <is>
          <t>Sophie</t>
        </is>
      </c>
      <c r="T366" t="inlineStr">
        <is>
          <t>2025-03</t>
        </is>
      </c>
    </row>
    <row r="367">
      <c r="A367" s="16" t="n">
        <v>45227</v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D</t>
        </is>
      </c>
      <c r="G367" t="inlineStr">
        <is>
          <t>Retail</t>
        </is>
      </c>
      <c r="H367" t="n">
        <v>0.1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n">
        <v/>
      </c>
      <c r="M367" t="n">
        <v>0</v>
      </c>
      <c r="N367" t="inlineStr">
        <is>
          <t>REG100365</t>
        </is>
      </c>
      <c r="O367" t="inlineStr">
        <is>
          <t>Cust 4029</t>
        </is>
      </c>
      <c r="P367" t="n">
        <v>48.77</v>
      </c>
      <c r="Q367" s="16" t="n">
        <v>45227</v>
      </c>
      <c r="R367" s="16" t="n">
        <v>45229</v>
      </c>
      <c r="S367" t="inlineStr">
        <is>
          <t>Wendy</t>
        </is>
      </c>
      <c r="T367" t="inlineStr">
        <is>
          <t>2023-10</t>
        </is>
      </c>
    </row>
    <row r="368">
      <c r="A368" s="16" t="n">
        <v>45735</v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B</t>
        </is>
      </c>
      <c r="G368" t="inlineStr">
        <is>
          <t>Retail</t>
        </is>
      </c>
      <c r="H368" t="n">
        <v>0.05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Cust 1400</t>
        </is>
      </c>
      <c r="P368" t="n">
        <v>13.33</v>
      </c>
      <c r="Q368" s="16" t="n">
        <v>45735</v>
      </c>
      <c r="R368" s="16" t="n">
        <v>45742</v>
      </c>
      <c r="S368" t="inlineStr">
        <is>
          <t>Cameron</t>
        </is>
      </c>
      <c r="T368" t="inlineStr">
        <is>
          <t>2025-03</t>
        </is>
      </c>
    </row>
    <row r="369">
      <c r="A369" s="16" t="n">
        <v>45144</v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C</t>
        </is>
      </c>
      <c r="G369" t="inlineStr">
        <is>
          <t>Retail</t>
        </is>
      </c>
      <c r="H369" t="n">
        <v>0.05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Cust 6361</t>
        </is>
      </c>
      <c r="P369" t="n">
        <v>28.92</v>
      </c>
      <c r="Q369" s="16" t="n">
        <v>45144</v>
      </c>
      <c r="R369" s="16" t="n">
        <v>45146</v>
      </c>
      <c r="S369" t="inlineStr">
        <is>
          <t>Wendy</t>
        </is>
      </c>
      <c r="T369" t="inlineStr">
        <is>
          <t>2023-08</t>
        </is>
      </c>
    </row>
    <row r="370">
      <c r="A370" s="16" t="n">
        <v>45546</v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D</t>
        </is>
      </c>
      <c r="G370" t="inlineStr">
        <is>
          <t>Retail</t>
        </is>
      </c>
      <c r="H370" t="n">
        <v>0.05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Cust 5267</t>
        </is>
      </c>
      <c r="P370" t="n">
        <v>41.61</v>
      </c>
      <c r="Q370" s="16" t="n">
        <v>45546</v>
      </c>
      <c r="R370" s="16" t="n">
        <v>45554</v>
      </c>
      <c r="S370" t="inlineStr">
        <is>
          <t>Cameron</t>
        </is>
      </c>
      <c r="T370" t="inlineStr">
        <is>
          <t>2024-09</t>
        </is>
      </c>
    </row>
    <row r="371">
      <c r="A371" s="16" t="n">
        <v>45665</v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0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Cust 9354</t>
        </is>
      </c>
      <c r="P371" t="n">
        <v>41.98</v>
      </c>
      <c r="Q371" s="16" t="n">
        <v>45665</v>
      </c>
      <c r="R371" s="16" t="n">
        <v>45669</v>
      </c>
      <c r="S371" t="inlineStr">
        <is>
          <t>Cameron</t>
        </is>
      </c>
      <c r="T371" t="inlineStr">
        <is>
          <t>2025-01</t>
        </is>
      </c>
    </row>
    <row r="372">
      <c r="A372" s="16" t="n">
        <v>45516</v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D</t>
        </is>
      </c>
      <c r="G372" t="inlineStr">
        <is>
          <t>Wholesale</t>
        </is>
      </c>
      <c r="H372" t="n">
        <v>0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n">
        <v/>
      </c>
      <c r="M372" t="n">
        <v>1</v>
      </c>
      <c r="N372" t="inlineStr">
        <is>
          <t>REG100370</t>
        </is>
      </c>
      <c r="O372" t="inlineStr">
        <is>
          <t>Cust 9443</t>
        </is>
      </c>
      <c r="P372" t="n">
        <v>13.17</v>
      </c>
      <c r="Q372" s="16" t="n">
        <v>45516</v>
      </c>
      <c r="R372" s="16" t="n">
        <v>45518</v>
      </c>
      <c r="S372" t="inlineStr">
        <is>
          <t>Cameron</t>
        </is>
      </c>
      <c r="T372" t="inlineStr">
        <is>
          <t>2024-08</t>
        </is>
      </c>
    </row>
    <row r="373">
      <c r="A373" s="16" t="n">
        <v>45015</v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C</t>
        </is>
      </c>
      <c r="G373" t="inlineStr">
        <is>
          <t>Wholesale</t>
        </is>
      </c>
      <c r="H373" t="n">
        <v>0.1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Cust 2252</t>
        </is>
      </c>
      <c r="P373" t="n">
        <v>19.44</v>
      </c>
      <c r="Q373" s="16" t="n">
        <v>45015</v>
      </c>
      <c r="R373" s="16" t="n">
        <v>45020</v>
      </c>
      <c r="S373" t="inlineStr">
        <is>
          <t>Ryan</t>
        </is>
      </c>
      <c r="T373" t="inlineStr">
        <is>
          <t>2023-03</t>
        </is>
      </c>
    </row>
    <row r="374">
      <c r="A374" s="16" t="n">
        <v>44958</v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D</t>
        </is>
      </c>
      <c r="G374" t="inlineStr">
        <is>
          <t>Wholesale</t>
        </is>
      </c>
      <c r="H374" t="n">
        <v>0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Cust 1031</t>
        </is>
      </c>
      <c r="P374" t="n">
        <v>48.13</v>
      </c>
      <c r="Q374" s="16" t="n">
        <v>44958</v>
      </c>
      <c r="R374" s="16" t="n">
        <v>44966</v>
      </c>
      <c r="S374" t="inlineStr">
        <is>
          <t>Cameron</t>
        </is>
      </c>
      <c r="T374" t="inlineStr">
        <is>
          <t>2023-02</t>
        </is>
      </c>
    </row>
    <row r="375">
      <c r="A375" s="16" t="n">
        <v>45765</v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A</t>
        </is>
      </c>
      <c r="G375" t="inlineStr">
        <is>
          <t>Wholesale</t>
        </is>
      </c>
      <c r="H375" t="n">
        <v>0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Cust 6086</t>
        </is>
      </c>
      <c r="P375" t="n">
        <v>19.74</v>
      </c>
      <c r="Q375" s="16" t="n">
        <v>45765</v>
      </c>
      <c r="R375" s="16" t="n">
        <v>45774</v>
      </c>
      <c r="S375" t="inlineStr">
        <is>
          <t>Ryan</t>
        </is>
      </c>
      <c r="T375" t="inlineStr">
        <is>
          <t>2025-04</t>
        </is>
      </c>
    </row>
    <row r="376">
      <c r="A376" s="16" t="n">
        <v>45745</v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0.1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n">
        <v/>
      </c>
      <c r="M376" t="n">
        <v>0</v>
      </c>
      <c r="N376" t="inlineStr">
        <is>
          <t>REG100374</t>
        </is>
      </c>
      <c r="O376" t="inlineStr">
        <is>
          <t>Cust 1672</t>
        </is>
      </c>
      <c r="P376" t="n">
        <v>34.13</v>
      </c>
      <c r="Q376" s="16" t="n">
        <v>45745</v>
      </c>
      <c r="R376" s="16" t="n">
        <v>45749</v>
      </c>
      <c r="S376" t="inlineStr">
        <is>
          <t>Cameron</t>
        </is>
      </c>
      <c r="T376" t="inlineStr">
        <is>
          <t>2025-03</t>
        </is>
      </c>
    </row>
    <row r="377">
      <c r="A377" s="16" t="n">
        <v>45407</v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D</t>
        </is>
      </c>
      <c r="G377" t="inlineStr">
        <is>
          <t>Retail</t>
        </is>
      </c>
      <c r="H377" t="n">
        <v>0.1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Cust 9313</t>
        </is>
      </c>
      <c r="P377" t="n">
        <v>39.1</v>
      </c>
      <c r="Q377" s="16" t="n">
        <v>45407</v>
      </c>
      <c r="R377" s="16" t="n">
        <v>45410</v>
      </c>
      <c r="S377" t="inlineStr">
        <is>
          <t>Eric</t>
        </is>
      </c>
      <c r="T377" t="inlineStr">
        <is>
          <t>2024-04</t>
        </is>
      </c>
    </row>
    <row r="378">
      <c r="A378" s="16" t="n">
        <v>45557</v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A</t>
        </is>
      </c>
      <c r="G378" t="inlineStr">
        <is>
          <t>Retail</t>
        </is>
      </c>
      <c r="H378" t="n">
        <v>0.05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Cust 4405</t>
        </is>
      </c>
      <c r="P378" t="n">
        <v>23.7</v>
      </c>
      <c r="Q378" s="16" t="n">
        <v>45557</v>
      </c>
      <c r="R378" s="16" t="n">
        <v>45562</v>
      </c>
      <c r="S378" t="inlineStr">
        <is>
          <t>Sophie</t>
        </is>
      </c>
      <c r="T378" t="inlineStr">
        <is>
          <t>2024-09</t>
        </is>
      </c>
    </row>
    <row r="379">
      <c r="A379" s="16" t="n">
        <v>45143</v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B</t>
        </is>
      </c>
      <c r="G379" t="inlineStr">
        <is>
          <t>Wholesale</t>
        </is>
      </c>
      <c r="H379" t="n">
        <v>0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Cust 6453</t>
        </is>
      </c>
      <c r="P379" t="n">
        <v>44.6</v>
      </c>
      <c r="Q379" s="16" t="n">
        <v>45143</v>
      </c>
      <c r="R379" s="16" t="n">
        <v>45152</v>
      </c>
      <c r="S379" t="inlineStr">
        <is>
          <t>Cameron</t>
        </is>
      </c>
      <c r="T379" t="inlineStr">
        <is>
          <t>2023-08</t>
        </is>
      </c>
    </row>
    <row r="380">
      <c r="A380" s="16" t="n">
        <v>45450</v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0.05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Cust 4772</t>
        </is>
      </c>
      <c r="P380" t="n">
        <v>31.75</v>
      </c>
      <c r="Q380" s="16" t="n">
        <v>45450</v>
      </c>
      <c r="R380" s="16" t="n">
        <v>45454</v>
      </c>
      <c r="S380" t="inlineStr">
        <is>
          <t>Sophie</t>
        </is>
      </c>
      <c r="T380" t="inlineStr">
        <is>
          <t>2024-06</t>
        </is>
      </c>
    </row>
    <row r="381">
      <c r="A381" s="16" t="n">
        <v>45801</v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B</t>
        </is>
      </c>
      <c r="G381" t="inlineStr">
        <is>
          <t>Wholesale</t>
        </is>
      </c>
      <c r="H381" t="n">
        <v>0.15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Cust 1762</t>
        </is>
      </c>
      <c r="P381" t="n">
        <v>45.74</v>
      </c>
      <c r="Q381" s="16" t="n">
        <v>45801</v>
      </c>
      <c r="R381" s="16" t="n">
        <v>45807</v>
      </c>
      <c r="S381" t="inlineStr">
        <is>
          <t>Eric</t>
        </is>
      </c>
      <c r="T381" t="inlineStr">
        <is>
          <t>2025-05</t>
        </is>
      </c>
    </row>
    <row r="382">
      <c r="A382" s="16" t="n">
        <v>45491</v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B</t>
        </is>
      </c>
      <c r="G382" t="inlineStr">
        <is>
          <t>Retail</t>
        </is>
      </c>
      <c r="H382" t="n">
        <v>0.15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Cust 1865</t>
        </is>
      </c>
      <c r="P382" t="n">
        <v>8.92</v>
      </c>
      <c r="Q382" s="16" t="n">
        <v>45491</v>
      </c>
      <c r="R382" s="16" t="n">
        <v>45498</v>
      </c>
      <c r="S382" t="inlineStr">
        <is>
          <t>Sophie</t>
        </is>
      </c>
      <c r="T382" t="inlineStr">
        <is>
          <t>2024-07</t>
        </is>
      </c>
    </row>
    <row r="383">
      <c r="A383" s="16" t="n">
        <v>45487</v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B</t>
        </is>
      </c>
      <c r="G383" t="inlineStr">
        <is>
          <t>Wholesale</t>
        </is>
      </c>
      <c r="H383" t="n">
        <v>0.1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Cust 9552</t>
        </is>
      </c>
      <c r="P383" t="n">
        <v>11.13</v>
      </c>
      <c r="Q383" s="16" t="n">
        <v>45487</v>
      </c>
      <c r="R383" s="16" t="n">
        <v>45489</v>
      </c>
      <c r="S383" t="inlineStr">
        <is>
          <t>Wendy</t>
        </is>
      </c>
      <c r="T383" t="inlineStr">
        <is>
          <t>2024-07</t>
        </is>
      </c>
    </row>
    <row r="384">
      <c r="A384" s="16" t="n">
        <v>45030</v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D</t>
        </is>
      </c>
      <c r="G384" t="inlineStr">
        <is>
          <t>Wholesale</t>
        </is>
      </c>
      <c r="H384" t="n">
        <v>0.05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Cust 4273</t>
        </is>
      </c>
      <c r="P384" t="n">
        <v>34.27</v>
      </c>
      <c r="Q384" s="16" t="n">
        <v>45030</v>
      </c>
      <c r="R384" s="16" t="n">
        <v>45035</v>
      </c>
      <c r="S384" t="inlineStr">
        <is>
          <t>Cameron</t>
        </is>
      </c>
      <c r="T384" t="inlineStr">
        <is>
          <t>2023-04</t>
        </is>
      </c>
    </row>
    <row r="385">
      <c r="A385" s="16" t="n">
        <v>45078</v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D</t>
        </is>
      </c>
      <c r="G385" t="inlineStr">
        <is>
          <t>Retail</t>
        </is>
      </c>
      <c r="H385" t="n">
        <v>0.1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Cust 8712</t>
        </is>
      </c>
      <c r="P385" t="n">
        <v>22.95</v>
      </c>
      <c r="Q385" s="16" t="n">
        <v>45078</v>
      </c>
      <c r="R385" s="16" t="n">
        <v>45083</v>
      </c>
      <c r="S385" t="inlineStr">
        <is>
          <t>Sophie</t>
        </is>
      </c>
      <c r="T385" t="inlineStr">
        <is>
          <t>2023-06</t>
        </is>
      </c>
    </row>
    <row r="386">
      <c r="A386" s="16" t="n">
        <v>45764</v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D</t>
        </is>
      </c>
      <c r="G386" t="inlineStr">
        <is>
          <t>Retail</t>
        </is>
      </c>
      <c r="H386" t="n">
        <v>0.1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Cust 9048</t>
        </is>
      </c>
      <c r="P386" t="n">
        <v>16.99</v>
      </c>
      <c r="Q386" s="16" t="n">
        <v>45764</v>
      </c>
      <c r="R386" s="16" t="n">
        <v>45767</v>
      </c>
      <c r="S386" t="inlineStr">
        <is>
          <t>Cameron</t>
        </is>
      </c>
      <c r="T386" t="inlineStr">
        <is>
          <t>2025-04</t>
        </is>
      </c>
    </row>
    <row r="387">
      <c r="A387" s="16" t="n">
        <v>45747</v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C</t>
        </is>
      </c>
      <c r="G387" t="inlineStr">
        <is>
          <t>Wholesale</t>
        </is>
      </c>
      <c r="H387" t="n">
        <v>0.05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Cust 7714</t>
        </is>
      </c>
      <c r="P387" t="n">
        <v>10.22</v>
      </c>
      <c r="Q387" s="16" t="n">
        <v>45747</v>
      </c>
      <c r="R387" s="16" t="n">
        <v>45756</v>
      </c>
      <c r="S387" t="inlineStr">
        <is>
          <t>Eric</t>
        </is>
      </c>
      <c r="T387" t="inlineStr">
        <is>
          <t>2025-03</t>
        </is>
      </c>
    </row>
    <row r="388">
      <c r="A388" s="16" t="n">
        <v>45488</v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D</t>
        </is>
      </c>
      <c r="G388" t="inlineStr">
        <is>
          <t>Retail</t>
        </is>
      </c>
      <c r="H388" t="n">
        <v>0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Cust 4770</t>
        </is>
      </c>
      <c r="P388" t="n">
        <v>49.95</v>
      </c>
      <c r="Q388" s="16" t="n">
        <v>45488</v>
      </c>
      <c r="R388" s="16" t="n">
        <v>45495</v>
      </c>
      <c r="S388" t="inlineStr">
        <is>
          <t>Eric</t>
        </is>
      </c>
      <c r="T388" t="inlineStr">
        <is>
          <t>2024-07</t>
        </is>
      </c>
    </row>
    <row r="389">
      <c r="A389" s="16" t="n">
        <v>45534</v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B</t>
        </is>
      </c>
      <c r="G389" t="inlineStr">
        <is>
          <t>Retail</t>
        </is>
      </c>
      <c r="H389" t="n">
        <v>0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Cust 2007</t>
        </is>
      </c>
      <c r="P389" t="n">
        <v>5.86</v>
      </c>
      <c r="Q389" s="16" t="n">
        <v>45534</v>
      </c>
      <c r="R389" s="16" t="n">
        <v>45536</v>
      </c>
      <c r="S389" t="inlineStr">
        <is>
          <t>Sophie</t>
        </is>
      </c>
      <c r="T389" t="inlineStr">
        <is>
          <t>2024-08</t>
        </is>
      </c>
    </row>
    <row r="390">
      <c r="A390" s="16" t="n">
        <v>45664</v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D</t>
        </is>
      </c>
      <c r="G390" t="inlineStr">
        <is>
          <t>Wholesale</t>
        </is>
      </c>
      <c r="H390" t="n">
        <v>0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Cust 8909</t>
        </is>
      </c>
      <c r="P390" t="n">
        <v>19.92</v>
      </c>
      <c r="Q390" s="16" t="n">
        <v>45664</v>
      </c>
      <c r="R390" s="16" t="n">
        <v>45667</v>
      </c>
      <c r="S390" t="inlineStr">
        <is>
          <t>Cameron</t>
        </is>
      </c>
      <c r="T390" t="inlineStr">
        <is>
          <t>2025-01</t>
        </is>
      </c>
    </row>
    <row r="391">
      <c r="A391" s="16" t="n">
        <v>45693</v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C</t>
        </is>
      </c>
      <c r="G391" t="inlineStr">
        <is>
          <t>Retail</t>
        </is>
      </c>
      <c r="H391" t="n">
        <v>0.05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n">
        <v/>
      </c>
      <c r="M391" t="n">
        <v>0</v>
      </c>
      <c r="N391" t="inlineStr">
        <is>
          <t>REG100389</t>
        </is>
      </c>
      <c r="O391" t="inlineStr">
        <is>
          <t>Cust 4196</t>
        </is>
      </c>
      <c r="P391" t="n">
        <v>49.9</v>
      </c>
      <c r="Q391" s="16" t="n">
        <v>45693</v>
      </c>
      <c r="R391" s="16" t="n">
        <v>45699</v>
      </c>
      <c r="S391" t="inlineStr">
        <is>
          <t>Sophie</t>
        </is>
      </c>
      <c r="T391" t="inlineStr">
        <is>
          <t>2025-02</t>
        </is>
      </c>
    </row>
    <row r="392">
      <c r="A392" s="16" t="n">
        <v>45383</v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B</t>
        </is>
      </c>
      <c r="G392" t="inlineStr">
        <is>
          <t>Wholesale</t>
        </is>
      </c>
      <c r="H392" t="n">
        <v>0.15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Cust 4189</t>
        </is>
      </c>
      <c r="P392" t="n">
        <v>39.99</v>
      </c>
      <c r="Q392" s="16" t="n">
        <v>45383</v>
      </c>
      <c r="R392" s="16" t="n">
        <v>45386</v>
      </c>
      <c r="S392" t="inlineStr">
        <is>
          <t>Ryan</t>
        </is>
      </c>
      <c r="T392" t="inlineStr">
        <is>
          <t>2024-04</t>
        </is>
      </c>
    </row>
    <row r="393">
      <c r="A393" s="16" t="n">
        <v>45717</v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D</t>
        </is>
      </c>
      <c r="G393" t="inlineStr">
        <is>
          <t>Wholesale</t>
        </is>
      </c>
      <c r="H393" t="n">
        <v>0.05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Cust 7226</t>
        </is>
      </c>
      <c r="P393" t="n">
        <v>17.68</v>
      </c>
      <c r="Q393" s="16" t="n">
        <v>45717</v>
      </c>
      <c r="R393" s="16" t="n">
        <v>45725</v>
      </c>
      <c r="S393" t="inlineStr">
        <is>
          <t>Wendy</t>
        </is>
      </c>
      <c r="T393" t="inlineStr">
        <is>
          <t>2025-03</t>
        </is>
      </c>
    </row>
    <row r="394">
      <c r="A394" s="16" t="n">
        <v>45110</v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A</t>
        </is>
      </c>
      <c r="G394" t="inlineStr">
        <is>
          <t>Wholesale</t>
        </is>
      </c>
      <c r="H394" t="n">
        <v>0.15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Cust 5015</t>
        </is>
      </c>
      <c r="P394" t="n">
        <v>47.78</v>
      </c>
      <c r="Q394" s="16" t="n">
        <v>45110</v>
      </c>
      <c r="R394" s="16" t="n">
        <v>45113</v>
      </c>
      <c r="S394" t="inlineStr">
        <is>
          <t>Cameron</t>
        </is>
      </c>
      <c r="T394" t="inlineStr">
        <is>
          <t>2023-07</t>
        </is>
      </c>
    </row>
    <row r="395">
      <c r="A395" s="16" t="n">
        <v>45041</v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0.15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Cust 9904</t>
        </is>
      </c>
      <c r="P395" t="n">
        <v>22.59</v>
      </c>
      <c r="Q395" s="16" t="n">
        <v>45041</v>
      </c>
      <c r="R395" s="16" t="n">
        <v>45047</v>
      </c>
      <c r="S395" t="inlineStr">
        <is>
          <t>Cameron</t>
        </is>
      </c>
      <c r="T395" t="inlineStr">
        <is>
          <t>2023-04</t>
        </is>
      </c>
    </row>
    <row r="396">
      <c r="A396" s="16" t="n">
        <v>45756</v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D</t>
        </is>
      </c>
      <c r="G396" t="inlineStr">
        <is>
          <t>Retail</t>
        </is>
      </c>
      <c r="H396" t="n">
        <v>0.05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Cust 7687</t>
        </is>
      </c>
      <c r="P396" t="n">
        <v>29.24</v>
      </c>
      <c r="Q396" s="16" t="n">
        <v>45756</v>
      </c>
      <c r="R396" s="16" t="n">
        <v>45766</v>
      </c>
      <c r="S396" t="inlineStr">
        <is>
          <t>Wendy</t>
        </is>
      </c>
      <c r="T396" t="inlineStr">
        <is>
          <t>2025-04</t>
        </is>
      </c>
    </row>
    <row r="397">
      <c r="A397" s="16" t="n">
        <v>45235</v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D</t>
        </is>
      </c>
      <c r="G397" t="inlineStr">
        <is>
          <t>Wholesale</t>
        </is>
      </c>
      <c r="H397" t="n">
        <v>0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Cust 6511</t>
        </is>
      </c>
      <c r="P397" t="n">
        <v>23.09</v>
      </c>
      <c r="Q397" s="16" t="n">
        <v>45235</v>
      </c>
      <c r="R397" s="16" t="n">
        <v>45242</v>
      </c>
      <c r="S397" t="inlineStr">
        <is>
          <t>Ryan</t>
        </is>
      </c>
      <c r="T397" t="inlineStr">
        <is>
          <t>2023-11</t>
        </is>
      </c>
    </row>
    <row r="398">
      <c r="A398" s="16" t="n">
        <v>44939</v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C</t>
        </is>
      </c>
      <c r="G398" t="inlineStr">
        <is>
          <t>Retail</t>
        </is>
      </c>
      <c r="H398" t="n">
        <v>0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n">
        <v/>
      </c>
      <c r="M398" t="n">
        <v>1</v>
      </c>
      <c r="N398" t="inlineStr">
        <is>
          <t>REG100396</t>
        </is>
      </c>
      <c r="O398" t="inlineStr">
        <is>
          <t>Cust 2412</t>
        </is>
      </c>
      <c r="P398" t="n">
        <v>11.9</v>
      </c>
      <c r="Q398" s="16" t="n">
        <v>44939</v>
      </c>
      <c r="R398" s="16" t="n">
        <v>44945</v>
      </c>
      <c r="S398" t="inlineStr">
        <is>
          <t>Eric</t>
        </is>
      </c>
      <c r="T398" t="inlineStr">
        <is>
          <t>2023-01</t>
        </is>
      </c>
    </row>
    <row r="399">
      <c r="A399" s="16" t="n">
        <v>45694</v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0.15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n">
        <v/>
      </c>
      <c r="M399" t="n">
        <v>0</v>
      </c>
      <c r="N399" t="inlineStr">
        <is>
          <t>REG100397</t>
        </is>
      </c>
      <c r="O399" t="inlineStr">
        <is>
          <t>Cust 1664</t>
        </is>
      </c>
      <c r="P399" t="n">
        <v>27.51</v>
      </c>
      <c r="Q399" s="16" t="n">
        <v>45694</v>
      </c>
      <c r="R399" s="16" t="n">
        <v>45698</v>
      </c>
      <c r="S399" t="inlineStr">
        <is>
          <t>Wendy</t>
        </is>
      </c>
      <c r="T399" t="inlineStr">
        <is>
          <t>2025-02</t>
        </is>
      </c>
    </row>
    <row r="400">
      <c r="A400" s="16" t="n">
        <v>45066</v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A</t>
        </is>
      </c>
      <c r="G400" t="inlineStr">
        <is>
          <t>Wholesale</t>
        </is>
      </c>
      <c r="H400" t="n">
        <v>0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Cust 6033</t>
        </is>
      </c>
      <c r="P400" t="n">
        <v>16.74</v>
      </c>
      <c r="Q400" s="16" t="n">
        <v>45066</v>
      </c>
      <c r="R400" s="16" t="n">
        <v>45071</v>
      </c>
      <c r="S400" t="inlineStr">
        <is>
          <t>Sophie</t>
        </is>
      </c>
      <c r="T400" t="inlineStr">
        <is>
          <t>2023-05</t>
        </is>
      </c>
    </row>
    <row r="401">
      <c r="A401" s="16" t="n">
        <v>45826</v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0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Cust 4019</t>
        </is>
      </c>
      <c r="P401" t="n">
        <v>21.02</v>
      </c>
      <c r="Q401" s="16" t="n">
        <v>45826</v>
      </c>
      <c r="R401" s="16" t="n">
        <v>45832</v>
      </c>
      <c r="S401" t="inlineStr">
        <is>
          <t>Eric</t>
        </is>
      </c>
      <c r="T401" t="inlineStr">
        <is>
          <t>2025-06</t>
        </is>
      </c>
    </row>
    <row r="402">
      <c r="A402" s="16" t="n">
        <v>44980</v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D</t>
        </is>
      </c>
      <c r="G402" t="inlineStr">
        <is>
          <t>Retail</t>
        </is>
      </c>
      <c r="H402" t="n">
        <v>0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Cust 4515</t>
        </is>
      </c>
      <c r="P402" t="n">
        <v>43.92</v>
      </c>
      <c r="Q402" s="16" t="n">
        <v>44980</v>
      </c>
      <c r="R402" s="16" t="n">
        <v>44984</v>
      </c>
      <c r="S402" t="inlineStr">
        <is>
          <t>Wendy</t>
        </is>
      </c>
      <c r="T402" t="inlineStr">
        <is>
          <t>2023-02</t>
        </is>
      </c>
    </row>
    <row r="403">
      <c r="A403" s="16" t="n">
        <v>45605</v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A</t>
        </is>
      </c>
      <c r="G403" t="inlineStr">
        <is>
          <t>Retail</t>
        </is>
      </c>
      <c r="H403" t="n">
        <v>0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n">
        <v/>
      </c>
      <c r="M403" t="n">
        <v>0</v>
      </c>
      <c r="N403" t="inlineStr">
        <is>
          <t>REG100401</t>
        </is>
      </c>
      <c r="O403" t="inlineStr">
        <is>
          <t>Cust 7532</t>
        </is>
      </c>
      <c r="P403" t="n">
        <v>25.72</v>
      </c>
      <c r="Q403" s="16" t="n">
        <v>45605</v>
      </c>
      <c r="R403" s="16" t="n">
        <v>45608</v>
      </c>
      <c r="S403" t="inlineStr">
        <is>
          <t>Eric</t>
        </is>
      </c>
      <c r="T403" t="inlineStr">
        <is>
          <t>2024-11</t>
        </is>
      </c>
    </row>
    <row r="404">
      <c r="A404" s="16" t="n">
        <v>45498</v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D</t>
        </is>
      </c>
      <c r="G404" t="inlineStr">
        <is>
          <t>Retail</t>
        </is>
      </c>
      <c r="H404" t="n">
        <v>0.05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Cust 8756</t>
        </is>
      </c>
      <c r="P404" t="n">
        <v>43.42</v>
      </c>
      <c r="Q404" s="16" t="n">
        <v>45498</v>
      </c>
      <c r="R404" s="16" t="n">
        <v>45504</v>
      </c>
      <c r="S404" t="inlineStr">
        <is>
          <t>Sophie</t>
        </is>
      </c>
      <c r="T404" t="inlineStr">
        <is>
          <t>2024-07</t>
        </is>
      </c>
    </row>
    <row r="405">
      <c r="A405" s="16" t="n">
        <v>45157</v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D</t>
        </is>
      </c>
      <c r="G405" t="inlineStr">
        <is>
          <t>Wholesale</t>
        </is>
      </c>
      <c r="H405" t="n">
        <v>0.15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Cust 7620</t>
        </is>
      </c>
      <c r="P405" t="n">
        <v>44.88</v>
      </c>
      <c r="Q405" s="16" t="n">
        <v>45157</v>
      </c>
      <c r="R405" s="16" t="n">
        <v>45161</v>
      </c>
      <c r="S405" t="inlineStr">
        <is>
          <t>Wendy</t>
        </is>
      </c>
      <c r="T405" t="inlineStr">
        <is>
          <t>2023-08</t>
        </is>
      </c>
    </row>
    <row r="406">
      <c r="A406" s="16" t="n">
        <v>45243</v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C</t>
        </is>
      </c>
      <c r="G406" t="inlineStr">
        <is>
          <t>Retail</t>
        </is>
      </c>
      <c r="H406" t="n">
        <v>0.1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Cust 7368</t>
        </is>
      </c>
      <c r="P406" t="n">
        <v>37.91</v>
      </c>
      <c r="Q406" s="16" t="n">
        <v>45243</v>
      </c>
      <c r="R406" s="16" t="n">
        <v>45245</v>
      </c>
      <c r="S406" t="inlineStr">
        <is>
          <t>Sophie</t>
        </is>
      </c>
      <c r="T406" t="inlineStr">
        <is>
          <t>2023-11</t>
        </is>
      </c>
    </row>
    <row r="407">
      <c r="A407" s="16" t="n">
        <v>45545</v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0.05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Cust 1319</t>
        </is>
      </c>
      <c r="P407" t="n">
        <v>37.12</v>
      </c>
      <c r="Q407" s="16" t="n">
        <v>45545</v>
      </c>
      <c r="R407" s="16" t="n">
        <v>45553</v>
      </c>
      <c r="S407" t="inlineStr">
        <is>
          <t>Wendy</t>
        </is>
      </c>
      <c r="T407" t="inlineStr">
        <is>
          <t>2024-09</t>
        </is>
      </c>
    </row>
    <row r="408">
      <c r="A408" s="16" t="n">
        <v>45534</v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A</t>
        </is>
      </c>
      <c r="G408" t="inlineStr">
        <is>
          <t>Retail</t>
        </is>
      </c>
      <c r="H408" t="n">
        <v>0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n">
        <v/>
      </c>
      <c r="M408" t="n">
        <v>0</v>
      </c>
      <c r="N408" t="inlineStr">
        <is>
          <t>REG100406</t>
        </is>
      </c>
      <c r="O408" t="inlineStr">
        <is>
          <t>Cust 9597</t>
        </is>
      </c>
      <c r="P408" t="n">
        <v>28.41</v>
      </c>
      <c r="Q408" s="16" t="n">
        <v>45534</v>
      </c>
      <c r="R408" s="16" t="n">
        <v>45537</v>
      </c>
      <c r="S408" t="inlineStr">
        <is>
          <t>Cameron</t>
        </is>
      </c>
      <c r="T408" t="inlineStr">
        <is>
          <t>2024-08</t>
        </is>
      </c>
    </row>
    <row r="409">
      <c r="A409" s="16" t="n">
        <v>45606</v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C</t>
        </is>
      </c>
      <c r="G409" t="inlineStr">
        <is>
          <t>Wholesale</t>
        </is>
      </c>
      <c r="H409" t="n">
        <v>0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Cust 7369</t>
        </is>
      </c>
      <c r="P409" t="n">
        <v>35.6</v>
      </c>
      <c r="Q409" s="16" t="n">
        <v>45606</v>
      </c>
      <c r="R409" s="16" t="n">
        <v>45613</v>
      </c>
      <c r="S409" t="inlineStr">
        <is>
          <t>Eric</t>
        </is>
      </c>
      <c r="T409" t="inlineStr">
        <is>
          <t>2024-11</t>
        </is>
      </c>
    </row>
    <row r="410">
      <c r="A410" s="16" t="n">
        <v>45029</v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D</t>
        </is>
      </c>
      <c r="G410" t="inlineStr">
        <is>
          <t>Wholesale</t>
        </is>
      </c>
      <c r="H410" t="n">
        <v>0.15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Cust 8592</t>
        </is>
      </c>
      <c r="P410" t="n">
        <v>39.38</v>
      </c>
      <c r="Q410" s="16" t="n">
        <v>45029</v>
      </c>
      <c r="R410" s="16" t="n">
        <v>45035</v>
      </c>
      <c r="S410" t="inlineStr">
        <is>
          <t>Eric</t>
        </is>
      </c>
      <c r="T410" t="inlineStr">
        <is>
          <t>2023-04</t>
        </is>
      </c>
    </row>
    <row r="411">
      <c r="A411" s="16" t="n">
        <v>45250</v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C</t>
        </is>
      </c>
      <c r="G411" t="inlineStr">
        <is>
          <t>Wholesale</t>
        </is>
      </c>
      <c r="H411" t="n">
        <v>0.05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Cust 2337</t>
        </is>
      </c>
      <c r="P411" t="n">
        <v>37.09</v>
      </c>
      <c r="Q411" s="16" t="n">
        <v>45250</v>
      </c>
      <c r="R411" s="16" t="n">
        <v>45257</v>
      </c>
      <c r="S411" t="inlineStr">
        <is>
          <t>Eric</t>
        </is>
      </c>
      <c r="T411" t="inlineStr">
        <is>
          <t>2023-11</t>
        </is>
      </c>
    </row>
    <row r="412">
      <c r="A412" s="16" t="n">
        <v>45761</v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B</t>
        </is>
      </c>
      <c r="G412" t="inlineStr">
        <is>
          <t>Wholesale</t>
        </is>
      </c>
      <c r="H412" t="n">
        <v>0.15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Cust 9697</t>
        </is>
      </c>
      <c r="P412" t="n">
        <v>29.31</v>
      </c>
      <c r="Q412" s="16" t="n">
        <v>45761</v>
      </c>
      <c r="R412" s="16" t="n">
        <v>45766</v>
      </c>
      <c r="S412" t="inlineStr">
        <is>
          <t>Ryan</t>
        </is>
      </c>
      <c r="T412" t="inlineStr">
        <is>
          <t>2025-04</t>
        </is>
      </c>
    </row>
    <row r="413">
      <c r="A413" s="16" t="n">
        <v>44989</v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B</t>
        </is>
      </c>
      <c r="G413" t="inlineStr">
        <is>
          <t>Retail</t>
        </is>
      </c>
      <c r="H413" t="n">
        <v>0.15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Cust 5895</t>
        </is>
      </c>
      <c r="P413" t="n">
        <v>48.15</v>
      </c>
      <c r="Q413" s="16" t="n">
        <v>44989</v>
      </c>
      <c r="R413" s="16" t="n">
        <v>44994</v>
      </c>
      <c r="S413" t="inlineStr">
        <is>
          <t>Cameron</t>
        </is>
      </c>
      <c r="T413" t="inlineStr">
        <is>
          <t>2023-03</t>
        </is>
      </c>
    </row>
    <row r="414">
      <c r="A414" s="16" t="n">
        <v>45612</v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0.15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Cust 9097</t>
        </is>
      </c>
      <c r="P414" t="n">
        <v>40.86</v>
      </c>
      <c r="Q414" s="16" t="n">
        <v>45612</v>
      </c>
      <c r="R414" s="16" t="n">
        <v>45615</v>
      </c>
      <c r="S414" t="inlineStr">
        <is>
          <t>Ryan</t>
        </is>
      </c>
      <c r="T414" t="inlineStr">
        <is>
          <t>2024-11</t>
        </is>
      </c>
    </row>
    <row r="415">
      <c r="A415" s="16" t="n">
        <v>45437</v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Cust 5938</t>
        </is>
      </c>
      <c r="P415" t="n">
        <v>46.46</v>
      </c>
      <c r="Q415" s="16" t="n">
        <v>45437</v>
      </c>
      <c r="R415" s="16" t="n">
        <v>45445</v>
      </c>
      <c r="S415" t="inlineStr">
        <is>
          <t>Sophie</t>
        </is>
      </c>
      <c r="T415" t="inlineStr">
        <is>
          <t>2024-05</t>
        </is>
      </c>
    </row>
    <row r="416">
      <c r="A416" s="16" t="n">
        <v>45028</v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D</t>
        </is>
      </c>
      <c r="G416" t="inlineStr">
        <is>
          <t>Wholesale</t>
        </is>
      </c>
      <c r="H416" t="n">
        <v>0.15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Cust 6928</t>
        </is>
      </c>
      <c r="P416" t="n">
        <v>5.66</v>
      </c>
      <c r="Q416" s="16" t="n">
        <v>45028</v>
      </c>
      <c r="R416" s="16" t="n">
        <v>45031</v>
      </c>
      <c r="S416" t="inlineStr">
        <is>
          <t>Eric</t>
        </is>
      </c>
      <c r="T416" t="inlineStr">
        <is>
          <t>2023-04</t>
        </is>
      </c>
    </row>
    <row r="417">
      <c r="A417" s="16" t="n">
        <v>44992</v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B</t>
        </is>
      </c>
      <c r="G417" t="inlineStr">
        <is>
          <t>Retail</t>
        </is>
      </c>
      <c r="H417" t="n">
        <v>0.15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n">
        <v/>
      </c>
      <c r="M417" t="n">
        <v>0</v>
      </c>
      <c r="N417" t="inlineStr">
        <is>
          <t>REG100415</t>
        </is>
      </c>
      <c r="O417" t="inlineStr">
        <is>
          <t>Cust 6223</t>
        </is>
      </c>
      <c r="P417" t="n">
        <v>10.2</v>
      </c>
      <c r="Q417" s="16" t="n">
        <v>44992</v>
      </c>
      <c r="R417" s="16" t="n">
        <v>44998</v>
      </c>
      <c r="S417" t="inlineStr">
        <is>
          <t>Sophie</t>
        </is>
      </c>
      <c r="T417" t="inlineStr">
        <is>
          <t>2023-03</t>
        </is>
      </c>
    </row>
    <row r="418">
      <c r="A418" s="16" t="n">
        <v>45296</v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A</t>
        </is>
      </c>
      <c r="G418" t="inlineStr">
        <is>
          <t>Retail</t>
        </is>
      </c>
      <c r="H418" t="n">
        <v>0.1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Cust 7614</t>
        </is>
      </c>
      <c r="P418" t="n">
        <v>24.69</v>
      </c>
      <c r="Q418" s="16" t="n">
        <v>45296</v>
      </c>
      <c r="R418" s="16" t="n">
        <v>45302</v>
      </c>
      <c r="S418" t="inlineStr">
        <is>
          <t>Cameron</t>
        </is>
      </c>
      <c r="T418" t="inlineStr">
        <is>
          <t>2024-01</t>
        </is>
      </c>
    </row>
    <row r="419">
      <c r="A419" s="16" t="n">
        <v>45596</v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C</t>
        </is>
      </c>
      <c r="G419" t="inlineStr">
        <is>
          <t>Wholesale</t>
        </is>
      </c>
      <c r="H419" t="n">
        <v>0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Cust 3231</t>
        </is>
      </c>
      <c r="P419" t="n">
        <v>32.5</v>
      </c>
      <c r="Q419" s="16" t="n">
        <v>45596</v>
      </c>
      <c r="R419" s="16" t="n">
        <v>45606</v>
      </c>
      <c r="S419" t="inlineStr">
        <is>
          <t>Wendy</t>
        </is>
      </c>
      <c r="T419" t="inlineStr">
        <is>
          <t>2024-10</t>
        </is>
      </c>
    </row>
    <row r="420">
      <c r="A420" s="16" t="n">
        <v>45420</v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C</t>
        </is>
      </c>
      <c r="G420" t="inlineStr">
        <is>
          <t>Retail</t>
        </is>
      </c>
      <c r="H420" t="n">
        <v>0.1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Cust 9123</t>
        </is>
      </c>
      <c r="P420" t="n">
        <v>45.93</v>
      </c>
      <c r="Q420" s="16" t="n">
        <v>45420</v>
      </c>
      <c r="R420" s="16" t="n">
        <v>45426</v>
      </c>
      <c r="S420" t="inlineStr">
        <is>
          <t>Wendy</t>
        </is>
      </c>
      <c r="T420" t="inlineStr">
        <is>
          <t>2024-05</t>
        </is>
      </c>
    </row>
    <row r="421">
      <c r="A421" s="16" t="n">
        <v>45356</v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C</t>
        </is>
      </c>
      <c r="G421" t="inlineStr">
        <is>
          <t>Wholesale</t>
        </is>
      </c>
      <c r="H421" t="n">
        <v>0.15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n">
        <v/>
      </c>
      <c r="M421" t="n">
        <v>0</v>
      </c>
      <c r="N421" t="inlineStr">
        <is>
          <t>REG100419</t>
        </is>
      </c>
      <c r="O421" t="inlineStr">
        <is>
          <t>Cust 7054</t>
        </is>
      </c>
      <c r="P421" t="n">
        <v>30.35</v>
      </c>
      <c r="Q421" s="16" t="n">
        <v>45356</v>
      </c>
      <c r="R421" s="16" t="n">
        <v>45366</v>
      </c>
      <c r="S421" t="inlineStr">
        <is>
          <t>Cameron</t>
        </is>
      </c>
      <c r="T421" t="inlineStr">
        <is>
          <t>2024-03</t>
        </is>
      </c>
    </row>
    <row r="422">
      <c r="A422" s="16" t="n">
        <v>45125</v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A</t>
        </is>
      </c>
      <c r="G422" t="inlineStr">
        <is>
          <t>Retail</t>
        </is>
      </c>
      <c r="H422" t="n">
        <v>0.1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n">
        <v/>
      </c>
      <c r="M422" t="n">
        <v>1</v>
      </c>
      <c r="N422" t="inlineStr">
        <is>
          <t>REG100420</t>
        </is>
      </c>
      <c r="O422" t="inlineStr">
        <is>
          <t>Cust 4240</t>
        </is>
      </c>
      <c r="P422" t="n">
        <v>25.48</v>
      </c>
      <c r="Q422" s="16" t="n">
        <v>45125</v>
      </c>
      <c r="R422" s="16" t="n">
        <v>45129</v>
      </c>
      <c r="S422" t="inlineStr">
        <is>
          <t>Ryan</t>
        </is>
      </c>
      <c r="T422" t="inlineStr">
        <is>
          <t>2023-07</t>
        </is>
      </c>
    </row>
    <row r="423">
      <c r="A423" s="16" t="n">
        <v>45143</v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C</t>
        </is>
      </c>
      <c r="G423" t="inlineStr">
        <is>
          <t>Retail</t>
        </is>
      </c>
      <c r="H423" t="n">
        <v>0.1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Cust 1237</t>
        </is>
      </c>
      <c r="P423" t="n">
        <v>21.47</v>
      </c>
      <c r="Q423" s="16" t="n">
        <v>45143</v>
      </c>
      <c r="R423" s="16" t="n">
        <v>45152</v>
      </c>
      <c r="S423" t="inlineStr">
        <is>
          <t>Sophie</t>
        </is>
      </c>
      <c r="T423" t="inlineStr">
        <is>
          <t>2023-08</t>
        </is>
      </c>
    </row>
    <row r="424">
      <c r="A424" s="16" t="n">
        <v>45187</v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D</t>
        </is>
      </c>
      <c r="G424" t="inlineStr">
        <is>
          <t>Wholesale</t>
        </is>
      </c>
      <c r="H424" t="n">
        <v>0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Cust 5513</t>
        </is>
      </c>
      <c r="P424" t="n">
        <v>28.29</v>
      </c>
      <c r="Q424" s="16" t="n">
        <v>45187</v>
      </c>
      <c r="R424" s="16" t="n">
        <v>45189</v>
      </c>
      <c r="S424" t="inlineStr">
        <is>
          <t>Wendy</t>
        </is>
      </c>
      <c r="T424" t="inlineStr">
        <is>
          <t>2023-09</t>
        </is>
      </c>
    </row>
    <row r="425">
      <c r="A425" s="16" t="n">
        <v>45012</v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D</t>
        </is>
      </c>
      <c r="G425" t="inlineStr">
        <is>
          <t>Wholesale</t>
        </is>
      </c>
      <c r="H425" t="n">
        <v>0.1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Cust 1835</t>
        </is>
      </c>
      <c r="P425" t="n">
        <v>25.03</v>
      </c>
      <c r="Q425" s="16" t="n">
        <v>45012</v>
      </c>
      <c r="R425" s="16" t="n">
        <v>45014</v>
      </c>
      <c r="S425" t="inlineStr">
        <is>
          <t>Sophie</t>
        </is>
      </c>
      <c r="T425" t="inlineStr">
        <is>
          <t>2023-03</t>
        </is>
      </c>
    </row>
    <row r="426">
      <c r="A426" s="16" t="n">
        <v>44993</v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0.15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Cust 8492</t>
        </is>
      </c>
      <c r="P426" t="n">
        <v>35.54</v>
      </c>
      <c r="Q426" s="16" t="n">
        <v>44993</v>
      </c>
      <c r="R426" s="16" t="n">
        <v>45002</v>
      </c>
      <c r="S426" t="inlineStr">
        <is>
          <t>Eric</t>
        </is>
      </c>
      <c r="T426" t="inlineStr">
        <is>
          <t>2023-03</t>
        </is>
      </c>
    </row>
    <row r="427">
      <c r="A427" s="16" t="n">
        <v>45414</v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B</t>
        </is>
      </c>
      <c r="G427" t="inlineStr">
        <is>
          <t>Retail</t>
        </is>
      </c>
      <c r="H427" t="n">
        <v>0.15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n">
        <v/>
      </c>
      <c r="M427" t="n">
        <v>0</v>
      </c>
      <c r="N427" t="inlineStr">
        <is>
          <t>REG100425</t>
        </is>
      </c>
      <c r="O427" t="inlineStr">
        <is>
          <t>Cust 2451</t>
        </is>
      </c>
      <c r="P427" t="n">
        <v>46.37</v>
      </c>
      <c r="Q427" s="16" t="n">
        <v>45414</v>
      </c>
      <c r="R427" s="16" t="n">
        <v>45418</v>
      </c>
      <c r="S427" t="inlineStr">
        <is>
          <t>Wendy</t>
        </is>
      </c>
      <c r="T427" t="inlineStr">
        <is>
          <t>2024-05</t>
        </is>
      </c>
    </row>
    <row r="428">
      <c r="A428" s="16" t="n">
        <v>45185</v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B</t>
        </is>
      </c>
      <c r="G428" t="inlineStr">
        <is>
          <t>Wholesale</t>
        </is>
      </c>
      <c r="H428" t="n">
        <v>0.15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Cust 4509</t>
        </is>
      </c>
      <c r="P428" t="n">
        <v>5.36</v>
      </c>
      <c r="Q428" s="16" t="n">
        <v>45185</v>
      </c>
      <c r="R428" s="16" t="n">
        <v>45195</v>
      </c>
      <c r="S428" t="inlineStr">
        <is>
          <t>Ryan</t>
        </is>
      </c>
      <c r="T428" t="inlineStr">
        <is>
          <t>2023-09</t>
        </is>
      </c>
    </row>
    <row r="429">
      <c r="A429" s="16" t="n">
        <v>45090</v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C</t>
        </is>
      </c>
      <c r="G429" t="inlineStr">
        <is>
          <t>Retail</t>
        </is>
      </c>
      <c r="H429" t="n">
        <v>0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Cust 6643</t>
        </is>
      </c>
      <c r="P429" t="n">
        <v>23.03</v>
      </c>
      <c r="Q429" s="16" t="n">
        <v>45090</v>
      </c>
      <c r="R429" s="16" t="n">
        <v>45099</v>
      </c>
      <c r="S429" t="inlineStr">
        <is>
          <t>Sophie</t>
        </is>
      </c>
      <c r="T429" t="inlineStr">
        <is>
          <t>2023-06</t>
        </is>
      </c>
    </row>
    <row r="430">
      <c r="A430" s="16" t="n">
        <v>45235</v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0.1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Cust 2559</t>
        </is>
      </c>
      <c r="P430" t="n">
        <v>39.84</v>
      </c>
      <c r="Q430" s="16" t="n">
        <v>45235</v>
      </c>
      <c r="R430" s="16" t="n">
        <v>45238</v>
      </c>
      <c r="S430" t="inlineStr">
        <is>
          <t>Ryan</t>
        </is>
      </c>
      <c r="T430" t="inlineStr">
        <is>
          <t>2023-11</t>
        </is>
      </c>
    </row>
    <row r="431">
      <c r="A431" s="16" t="n">
        <v>45619</v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0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Cust 4423</t>
        </is>
      </c>
      <c r="P431" t="n">
        <v>46.58</v>
      </c>
      <c r="Q431" s="16" t="n">
        <v>45619</v>
      </c>
      <c r="R431" s="16" t="n">
        <v>45622</v>
      </c>
      <c r="S431" t="inlineStr">
        <is>
          <t>Sophie</t>
        </is>
      </c>
      <c r="T431" t="inlineStr">
        <is>
          <t>2024-11</t>
        </is>
      </c>
    </row>
    <row r="432">
      <c r="A432" s="16" t="n">
        <v>45331</v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B</t>
        </is>
      </c>
      <c r="G432" t="inlineStr">
        <is>
          <t>Retail</t>
        </is>
      </c>
      <c r="H432" t="n">
        <v>0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Cust 9139</t>
        </is>
      </c>
      <c r="P432" t="n">
        <v>27.36</v>
      </c>
      <c r="Q432" s="16" t="n">
        <v>45331</v>
      </c>
      <c r="R432" s="16" t="n">
        <v>45340</v>
      </c>
      <c r="S432" t="inlineStr">
        <is>
          <t>Cameron</t>
        </is>
      </c>
      <c r="T432" t="inlineStr">
        <is>
          <t>2024-02</t>
        </is>
      </c>
    </row>
    <row r="433">
      <c r="A433" s="16" t="n">
        <v>45246</v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A</t>
        </is>
      </c>
      <c r="G433" t="inlineStr">
        <is>
          <t>Wholesale</t>
        </is>
      </c>
      <c r="H433" t="n">
        <v>0.1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Cust 6668</t>
        </is>
      </c>
      <c r="P433" t="n">
        <v>9.51</v>
      </c>
      <c r="Q433" s="16" t="n">
        <v>45246</v>
      </c>
      <c r="R433" s="16" t="n">
        <v>45252</v>
      </c>
      <c r="S433" t="inlineStr">
        <is>
          <t>Cameron</t>
        </is>
      </c>
      <c r="T433" t="inlineStr">
        <is>
          <t>2023-11</t>
        </is>
      </c>
    </row>
    <row r="434">
      <c r="A434" s="16" t="n">
        <v>45681</v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0.15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Cust 4315</t>
        </is>
      </c>
      <c r="P434" t="n">
        <v>17.92</v>
      </c>
      <c r="Q434" s="16" t="n">
        <v>45681</v>
      </c>
      <c r="R434" s="16" t="n">
        <v>45686</v>
      </c>
      <c r="S434" t="inlineStr">
        <is>
          <t>Cameron</t>
        </is>
      </c>
      <c r="T434" t="inlineStr">
        <is>
          <t>2025-01</t>
        </is>
      </c>
    </row>
    <row r="435">
      <c r="A435" s="16" t="n">
        <v>45783</v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0.15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Cust 8000</t>
        </is>
      </c>
      <c r="P435" t="n">
        <v>8.470000000000001</v>
      </c>
      <c r="Q435" s="16" t="n">
        <v>45783</v>
      </c>
      <c r="R435" s="16" t="n">
        <v>45786</v>
      </c>
      <c r="S435" t="inlineStr">
        <is>
          <t>Cameron</t>
        </is>
      </c>
      <c r="T435" t="inlineStr">
        <is>
          <t>2025-05</t>
        </is>
      </c>
    </row>
    <row r="436">
      <c r="A436" s="16" t="n">
        <v>45794</v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A</t>
        </is>
      </c>
      <c r="G436" t="inlineStr">
        <is>
          <t>Retail</t>
        </is>
      </c>
      <c r="H436" t="n">
        <v>0.15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Cust 7585</t>
        </is>
      </c>
      <c r="P436" t="n">
        <v>41.03</v>
      </c>
      <c r="Q436" s="16" t="n">
        <v>45794</v>
      </c>
      <c r="R436" s="16" t="n">
        <v>45804</v>
      </c>
      <c r="S436" t="inlineStr">
        <is>
          <t>Eric</t>
        </is>
      </c>
      <c r="T436" t="inlineStr">
        <is>
          <t>2025-05</t>
        </is>
      </c>
    </row>
    <row r="437">
      <c r="A437" s="16" t="n">
        <v>45259</v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A</t>
        </is>
      </c>
      <c r="G437" t="inlineStr">
        <is>
          <t>Retail</t>
        </is>
      </c>
      <c r="H437" t="n">
        <v>0.05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Cust 3127</t>
        </is>
      </c>
      <c r="P437" t="n">
        <v>19.61</v>
      </c>
      <c r="Q437" s="16" t="n">
        <v>45259</v>
      </c>
      <c r="R437" s="16" t="n">
        <v>45261</v>
      </c>
      <c r="S437" t="inlineStr">
        <is>
          <t>Cameron</t>
        </is>
      </c>
      <c r="T437" t="inlineStr">
        <is>
          <t>2023-11</t>
        </is>
      </c>
    </row>
    <row r="438">
      <c r="A438" s="16" t="n">
        <v>44981</v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Cust 4130</t>
        </is>
      </c>
      <c r="P438" t="n">
        <v>18.65</v>
      </c>
      <c r="Q438" s="16" t="n">
        <v>44981</v>
      </c>
      <c r="R438" s="16" t="n">
        <v>44983</v>
      </c>
      <c r="S438" t="inlineStr">
        <is>
          <t>Sophie</t>
        </is>
      </c>
      <c r="T438" t="inlineStr">
        <is>
          <t>2023-02</t>
        </is>
      </c>
    </row>
    <row r="439">
      <c r="A439" s="16" t="n">
        <v>45234</v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A</t>
        </is>
      </c>
      <c r="G439" t="inlineStr">
        <is>
          <t>Wholesale</t>
        </is>
      </c>
      <c r="H439" t="n">
        <v>0.15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n">
        <v/>
      </c>
      <c r="M439" t="n">
        <v>1</v>
      </c>
      <c r="N439" t="inlineStr">
        <is>
          <t>REG100437</t>
        </is>
      </c>
      <c r="O439" t="inlineStr">
        <is>
          <t>Cust 6956</t>
        </is>
      </c>
      <c r="P439" t="n">
        <v>29.81</v>
      </c>
      <c r="Q439" s="16" t="n">
        <v>45234</v>
      </c>
      <c r="R439" s="16" t="n">
        <v>45240</v>
      </c>
      <c r="S439" t="inlineStr">
        <is>
          <t>Sophie</t>
        </is>
      </c>
      <c r="T439" t="inlineStr">
        <is>
          <t>2023-11</t>
        </is>
      </c>
    </row>
    <row r="440">
      <c r="A440" s="16" t="n">
        <v>45458</v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B</t>
        </is>
      </c>
      <c r="G440" t="inlineStr">
        <is>
          <t>Retail</t>
        </is>
      </c>
      <c r="H440" t="n">
        <v>0.1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Cust 8155</t>
        </is>
      </c>
      <c r="P440" t="n">
        <v>34.7</v>
      </c>
      <c r="Q440" s="16" t="n">
        <v>45458</v>
      </c>
      <c r="R440" s="16" t="n">
        <v>45465</v>
      </c>
      <c r="S440" t="inlineStr">
        <is>
          <t>Eric</t>
        </is>
      </c>
      <c r="T440" t="inlineStr">
        <is>
          <t>2024-06</t>
        </is>
      </c>
    </row>
    <row r="441">
      <c r="A441" s="16" t="n">
        <v>45567</v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A</t>
        </is>
      </c>
      <c r="G441" t="inlineStr">
        <is>
          <t>Retail</t>
        </is>
      </c>
      <c r="H441" t="n">
        <v>0.05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Cust 8852</t>
        </is>
      </c>
      <c r="P441" t="n">
        <v>12.46</v>
      </c>
      <c r="Q441" s="16" t="n">
        <v>45567</v>
      </c>
      <c r="R441" s="16" t="n">
        <v>45571</v>
      </c>
      <c r="S441" t="inlineStr">
        <is>
          <t>Ryan</t>
        </is>
      </c>
      <c r="T441" t="inlineStr">
        <is>
          <t>2024-10</t>
        </is>
      </c>
    </row>
    <row r="442">
      <c r="A442" s="16" t="n">
        <v>45080</v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B</t>
        </is>
      </c>
      <c r="G442" t="inlineStr">
        <is>
          <t>Wholesale</t>
        </is>
      </c>
      <c r="H442" t="n">
        <v>0.1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Cust 2850</t>
        </is>
      </c>
      <c r="P442" t="n">
        <v>48.71</v>
      </c>
      <c r="Q442" s="16" t="n">
        <v>45080</v>
      </c>
      <c r="R442" s="16" t="n">
        <v>45090</v>
      </c>
      <c r="S442" t="inlineStr">
        <is>
          <t>Wendy</t>
        </is>
      </c>
      <c r="T442" t="inlineStr">
        <is>
          <t>2023-06</t>
        </is>
      </c>
    </row>
    <row r="443">
      <c r="A443" s="16" t="n">
        <v>45179</v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0.15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n">
        <v/>
      </c>
      <c r="M443" t="n">
        <v>0</v>
      </c>
      <c r="N443" t="inlineStr">
        <is>
          <t>REG100441</t>
        </is>
      </c>
      <c r="O443" t="inlineStr">
        <is>
          <t>Cust 9572</t>
        </is>
      </c>
      <c r="P443" t="n">
        <v>36.79</v>
      </c>
      <c r="Q443" s="16" t="n">
        <v>45179</v>
      </c>
      <c r="R443" s="16" t="n">
        <v>45187</v>
      </c>
      <c r="S443" t="inlineStr">
        <is>
          <t>Eric</t>
        </is>
      </c>
      <c r="T443" t="inlineStr">
        <is>
          <t>2023-09</t>
        </is>
      </c>
    </row>
    <row r="444">
      <c r="A444" s="16" t="n">
        <v>45797</v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0.15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Cust 6253</t>
        </is>
      </c>
      <c r="P444" t="n">
        <v>33.95</v>
      </c>
      <c r="Q444" s="16" t="n">
        <v>45797</v>
      </c>
      <c r="R444" s="16" t="n">
        <v>45799</v>
      </c>
      <c r="S444" t="inlineStr">
        <is>
          <t>Cameron</t>
        </is>
      </c>
      <c r="T444" t="inlineStr">
        <is>
          <t>2025-05</t>
        </is>
      </c>
    </row>
    <row r="445">
      <c r="A445" s="16" t="n">
        <v>45193</v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A</t>
        </is>
      </c>
      <c r="G445" t="inlineStr">
        <is>
          <t>Wholesale</t>
        </is>
      </c>
      <c r="H445" t="n">
        <v>0.1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n">
        <v/>
      </c>
      <c r="M445" t="n">
        <v>1</v>
      </c>
      <c r="N445" t="inlineStr">
        <is>
          <t>REG100443</t>
        </is>
      </c>
      <c r="O445" t="inlineStr">
        <is>
          <t>Cust 4154</t>
        </is>
      </c>
      <c r="P445" t="n">
        <v>28.52</v>
      </c>
      <c r="Q445" s="16" t="n">
        <v>45193</v>
      </c>
      <c r="R445" s="16" t="n">
        <v>45202</v>
      </c>
      <c r="S445" t="inlineStr">
        <is>
          <t>Ryan</t>
        </is>
      </c>
      <c r="T445" t="inlineStr">
        <is>
          <t>2023-09</t>
        </is>
      </c>
    </row>
    <row r="446">
      <c r="A446" s="16" t="n">
        <v>45745</v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0.1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n">
        <v/>
      </c>
      <c r="M446" t="n">
        <v>0</v>
      </c>
      <c r="N446" t="inlineStr">
        <is>
          <t>REG100444</t>
        </is>
      </c>
      <c r="O446" t="inlineStr">
        <is>
          <t>Cust 2137</t>
        </is>
      </c>
      <c r="P446" t="n">
        <v>16.8</v>
      </c>
      <c r="Q446" s="16" t="n">
        <v>45745</v>
      </c>
      <c r="R446" s="16" t="n">
        <v>45751</v>
      </c>
      <c r="S446" t="inlineStr">
        <is>
          <t>Eric</t>
        </is>
      </c>
      <c r="T446" t="inlineStr">
        <is>
          <t>2025-03</t>
        </is>
      </c>
    </row>
    <row r="447">
      <c r="A447" s="16" t="n">
        <v>45094</v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B</t>
        </is>
      </c>
      <c r="G447" t="inlineStr">
        <is>
          <t>Retail</t>
        </is>
      </c>
      <c r="H447" t="n">
        <v>0.1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Cust 8157</t>
        </is>
      </c>
      <c r="P447" t="n">
        <v>16.44</v>
      </c>
      <c r="Q447" s="16" t="n">
        <v>45094</v>
      </c>
      <c r="R447" s="16" t="n">
        <v>45102</v>
      </c>
      <c r="S447" t="inlineStr">
        <is>
          <t>Eric</t>
        </is>
      </c>
      <c r="T447" t="inlineStr">
        <is>
          <t>2023-06</t>
        </is>
      </c>
    </row>
    <row r="448">
      <c r="A448" s="16" t="n">
        <v>45319</v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0.15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Cust 4861</t>
        </is>
      </c>
      <c r="P448" t="n">
        <v>42.03</v>
      </c>
      <c r="Q448" s="16" t="n">
        <v>45319</v>
      </c>
      <c r="R448" s="16" t="n">
        <v>45327</v>
      </c>
      <c r="S448" t="inlineStr">
        <is>
          <t>Wendy</t>
        </is>
      </c>
      <c r="T448" t="inlineStr">
        <is>
          <t>2024-01</t>
        </is>
      </c>
    </row>
    <row r="449">
      <c r="A449" s="16" t="n">
        <v>44999</v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D</t>
        </is>
      </c>
      <c r="G449" t="inlineStr">
        <is>
          <t>Retail</t>
        </is>
      </c>
      <c r="H449" t="n">
        <v>0.1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Cust 7493</t>
        </is>
      </c>
      <c r="P449" t="n">
        <v>45.99</v>
      </c>
      <c r="Q449" s="16" t="n">
        <v>44999</v>
      </c>
      <c r="R449" s="16" t="n">
        <v>45002</v>
      </c>
      <c r="S449" t="inlineStr">
        <is>
          <t>Cameron</t>
        </is>
      </c>
      <c r="T449" t="inlineStr">
        <is>
          <t>2023-03</t>
        </is>
      </c>
    </row>
    <row r="450">
      <c r="A450" s="16" t="n">
        <v>45666</v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A</t>
        </is>
      </c>
      <c r="G450" t="inlineStr">
        <is>
          <t>Wholesale</t>
        </is>
      </c>
      <c r="H450" t="n">
        <v>0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n">
        <v/>
      </c>
      <c r="M450" t="n">
        <v>1</v>
      </c>
      <c r="N450" t="inlineStr">
        <is>
          <t>REG100448</t>
        </is>
      </c>
      <c r="O450" t="inlineStr">
        <is>
          <t>Cust 7073</t>
        </is>
      </c>
      <c r="P450" t="n">
        <v>27.16</v>
      </c>
      <c r="Q450" s="16" t="n">
        <v>45666</v>
      </c>
      <c r="R450" s="16" t="n">
        <v>45674</v>
      </c>
      <c r="S450" t="inlineStr">
        <is>
          <t>Eric</t>
        </is>
      </c>
      <c r="T450" t="inlineStr">
        <is>
          <t>2025-01</t>
        </is>
      </c>
    </row>
    <row r="451">
      <c r="A451" s="16" t="n">
        <v>45746</v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0.15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Cust 9085</t>
        </is>
      </c>
      <c r="P451" t="n">
        <v>20.38</v>
      </c>
      <c r="Q451" s="16" t="n">
        <v>45746</v>
      </c>
      <c r="R451" s="16" t="n">
        <v>45753</v>
      </c>
      <c r="S451" t="inlineStr">
        <is>
          <t>Cameron</t>
        </is>
      </c>
      <c r="T451" t="inlineStr">
        <is>
          <t>2025-03</t>
        </is>
      </c>
    </row>
    <row r="452">
      <c r="A452" s="16" t="n">
        <v>45222</v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B</t>
        </is>
      </c>
      <c r="G452" t="inlineStr">
        <is>
          <t>Retail</t>
        </is>
      </c>
      <c r="H452" t="n">
        <v>0.05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n">
        <v/>
      </c>
      <c r="M452" t="n">
        <v>0</v>
      </c>
      <c r="N452" t="inlineStr">
        <is>
          <t>REG100450</t>
        </is>
      </c>
      <c r="O452" t="inlineStr">
        <is>
          <t>Cust 3247</t>
        </is>
      </c>
      <c r="P452" t="n">
        <v>32.13</v>
      </c>
      <c r="Q452" s="16" t="n">
        <v>45222</v>
      </c>
      <c r="R452" s="16" t="n">
        <v>45227</v>
      </c>
      <c r="S452" t="inlineStr">
        <is>
          <t>Eric</t>
        </is>
      </c>
      <c r="T452" t="inlineStr">
        <is>
          <t>2023-10</t>
        </is>
      </c>
    </row>
    <row r="453">
      <c r="A453" s="16" t="n">
        <v>45816</v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D</t>
        </is>
      </c>
      <c r="G453" t="inlineStr">
        <is>
          <t>Retail</t>
        </is>
      </c>
      <c r="H453" t="n">
        <v>0.15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Cust 8504</t>
        </is>
      </c>
      <c r="P453" t="n">
        <v>14.93</v>
      </c>
      <c r="Q453" s="16" t="n">
        <v>45816</v>
      </c>
      <c r="R453" s="16" t="n">
        <v>45822</v>
      </c>
      <c r="S453" t="inlineStr">
        <is>
          <t>Wendy</t>
        </is>
      </c>
      <c r="T453" t="inlineStr">
        <is>
          <t>2025-06</t>
        </is>
      </c>
    </row>
    <row r="454">
      <c r="A454" s="16" t="n">
        <v>45348</v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D</t>
        </is>
      </c>
      <c r="G454" t="inlineStr">
        <is>
          <t>Wholesale</t>
        </is>
      </c>
      <c r="H454" t="n">
        <v>0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Cust 4164</t>
        </is>
      </c>
      <c r="P454" t="n">
        <v>10.24</v>
      </c>
      <c r="Q454" s="16" t="n">
        <v>45348</v>
      </c>
      <c r="R454" s="16" t="n">
        <v>45351</v>
      </c>
      <c r="S454" t="inlineStr">
        <is>
          <t>Wendy</t>
        </is>
      </c>
      <c r="T454" t="inlineStr">
        <is>
          <t>2024-02</t>
        </is>
      </c>
    </row>
    <row r="455">
      <c r="A455" s="16" t="n">
        <v>45595</v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0.1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Cust 9592</t>
        </is>
      </c>
      <c r="P455" t="n">
        <v>18.07</v>
      </c>
      <c r="Q455" s="16" t="n">
        <v>45595</v>
      </c>
      <c r="R455" s="16" t="n">
        <v>45603</v>
      </c>
      <c r="S455" t="inlineStr">
        <is>
          <t>Eric</t>
        </is>
      </c>
      <c r="T455" t="inlineStr">
        <is>
          <t>2024-10</t>
        </is>
      </c>
    </row>
    <row r="456">
      <c r="A456" s="16" t="n">
        <v>45523</v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0.15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Cust 7450</t>
        </is>
      </c>
      <c r="P456" t="n">
        <v>8.1</v>
      </c>
      <c r="Q456" s="16" t="n">
        <v>45523</v>
      </c>
      <c r="R456" s="16" t="n">
        <v>45527</v>
      </c>
      <c r="S456" t="inlineStr">
        <is>
          <t>Sophie</t>
        </is>
      </c>
      <c r="T456" t="inlineStr">
        <is>
          <t>2024-08</t>
        </is>
      </c>
    </row>
    <row r="457">
      <c r="A457" s="16" t="n">
        <v>45137</v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C</t>
        </is>
      </c>
      <c r="G457" t="inlineStr">
        <is>
          <t>Wholesale</t>
        </is>
      </c>
      <c r="H457" t="n">
        <v>0.1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Cust 4186</t>
        </is>
      </c>
      <c r="P457" t="n">
        <v>24.55</v>
      </c>
      <c r="Q457" s="16" t="n">
        <v>45137</v>
      </c>
      <c r="R457" s="16" t="n">
        <v>45147</v>
      </c>
      <c r="S457" t="inlineStr">
        <is>
          <t>Cameron</t>
        </is>
      </c>
      <c r="T457" t="inlineStr">
        <is>
          <t>2023-07</t>
        </is>
      </c>
    </row>
    <row r="458">
      <c r="A458" s="16" t="n">
        <v>45517</v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A</t>
        </is>
      </c>
      <c r="G458" t="inlineStr">
        <is>
          <t>Wholesale</t>
        </is>
      </c>
      <c r="H458" t="n">
        <v>0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Cust 3305</t>
        </is>
      </c>
      <c r="P458" t="n">
        <v>16.71</v>
      </c>
      <c r="Q458" s="16" t="n">
        <v>45517</v>
      </c>
      <c r="R458" s="16" t="n">
        <v>45527</v>
      </c>
      <c r="S458" t="inlineStr">
        <is>
          <t>Ryan</t>
        </is>
      </c>
      <c r="T458" t="inlineStr">
        <is>
          <t>2024-08</t>
        </is>
      </c>
    </row>
    <row r="459">
      <c r="A459" s="16" t="n">
        <v>45234</v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A</t>
        </is>
      </c>
      <c r="G459" t="inlineStr">
        <is>
          <t>Retail</t>
        </is>
      </c>
      <c r="H459" t="n">
        <v>0.05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Cust 9768</t>
        </is>
      </c>
      <c r="P459" t="n">
        <v>35.28</v>
      </c>
      <c r="Q459" s="16" t="n">
        <v>45234</v>
      </c>
      <c r="R459" s="16" t="n">
        <v>45242</v>
      </c>
      <c r="S459" t="inlineStr">
        <is>
          <t>Ryan</t>
        </is>
      </c>
      <c r="T459" t="inlineStr">
        <is>
          <t>2023-11</t>
        </is>
      </c>
    </row>
    <row r="460">
      <c r="A460" s="16" t="n">
        <v>45813</v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C</t>
        </is>
      </c>
      <c r="G460" t="inlineStr">
        <is>
          <t>Retail</t>
        </is>
      </c>
      <c r="H460" t="n">
        <v>0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n">
        <v/>
      </c>
      <c r="M460" t="n">
        <v>0</v>
      </c>
      <c r="N460" t="inlineStr">
        <is>
          <t>REG100458</t>
        </is>
      </c>
      <c r="O460" t="inlineStr">
        <is>
          <t>Cust 1179</t>
        </is>
      </c>
      <c r="P460" t="n">
        <v>48.68</v>
      </c>
      <c r="Q460" s="16" t="n">
        <v>45813</v>
      </c>
      <c r="R460" s="16" t="n">
        <v>45823</v>
      </c>
      <c r="S460" t="inlineStr">
        <is>
          <t>Eric</t>
        </is>
      </c>
      <c r="T460" t="inlineStr">
        <is>
          <t>2025-06</t>
        </is>
      </c>
    </row>
    <row r="461">
      <c r="A461" s="16" t="n">
        <v>45100</v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0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n">
        <v/>
      </c>
      <c r="M461" t="n">
        <v>0</v>
      </c>
      <c r="N461" t="inlineStr">
        <is>
          <t>REG100459</t>
        </is>
      </c>
      <c r="O461" t="inlineStr">
        <is>
          <t>Cust 2546</t>
        </is>
      </c>
      <c r="P461" t="n">
        <v>33.76</v>
      </c>
      <c r="Q461" s="16" t="n">
        <v>45100</v>
      </c>
      <c r="R461" s="16" t="n">
        <v>45105</v>
      </c>
      <c r="S461" t="inlineStr">
        <is>
          <t>Ryan</t>
        </is>
      </c>
      <c r="T461" t="inlineStr">
        <is>
          <t>2023-06</t>
        </is>
      </c>
    </row>
    <row r="462">
      <c r="A462" s="16" t="n">
        <v>45556</v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0.1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n">
        <v/>
      </c>
      <c r="M462" t="n">
        <v>0</v>
      </c>
      <c r="N462" t="inlineStr">
        <is>
          <t>REG100460</t>
        </is>
      </c>
      <c r="O462" t="inlineStr">
        <is>
          <t>Cust 2672</t>
        </is>
      </c>
      <c r="P462" t="n">
        <v>19.57</v>
      </c>
      <c r="Q462" s="16" t="n">
        <v>45556</v>
      </c>
      <c r="R462" s="16" t="n">
        <v>45563</v>
      </c>
      <c r="S462" t="inlineStr">
        <is>
          <t>Sophie</t>
        </is>
      </c>
      <c r="T462" t="inlineStr">
        <is>
          <t>2024-09</t>
        </is>
      </c>
    </row>
    <row r="463">
      <c r="A463" s="16" t="n">
        <v>45292</v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A</t>
        </is>
      </c>
      <c r="G463" t="inlineStr">
        <is>
          <t>Wholesale</t>
        </is>
      </c>
      <c r="H463" t="n">
        <v>0.1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Cust 3394</t>
        </is>
      </c>
      <c r="P463" t="n">
        <v>48.02</v>
      </c>
      <c r="Q463" s="16" t="n">
        <v>45292</v>
      </c>
      <c r="R463" s="16" t="n">
        <v>45294</v>
      </c>
      <c r="S463" t="inlineStr">
        <is>
          <t>Sophie</t>
        </is>
      </c>
      <c r="T463" t="inlineStr">
        <is>
          <t>2024-01</t>
        </is>
      </c>
    </row>
    <row r="464">
      <c r="A464" s="16" t="n">
        <v>45659</v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B</t>
        </is>
      </c>
      <c r="G464" t="inlineStr">
        <is>
          <t>Wholesale</t>
        </is>
      </c>
      <c r="H464" t="n">
        <v>0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Cust 1649</t>
        </is>
      </c>
      <c r="P464" t="n">
        <v>33.31</v>
      </c>
      <c r="Q464" s="16" t="n">
        <v>45659</v>
      </c>
      <c r="R464" s="16" t="n">
        <v>45669</v>
      </c>
      <c r="S464" t="inlineStr">
        <is>
          <t>Wendy</t>
        </is>
      </c>
      <c r="T464" t="inlineStr">
        <is>
          <t>2025-01</t>
        </is>
      </c>
    </row>
    <row r="465">
      <c r="A465" s="16" t="n">
        <v>45365</v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D</t>
        </is>
      </c>
      <c r="G465" t="inlineStr">
        <is>
          <t>Wholesale</t>
        </is>
      </c>
      <c r="H465" t="n">
        <v>0.15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Cust 6994</t>
        </is>
      </c>
      <c r="P465" t="n">
        <v>45.03</v>
      </c>
      <c r="Q465" s="16" t="n">
        <v>45365</v>
      </c>
      <c r="R465" s="16" t="n">
        <v>45372</v>
      </c>
      <c r="S465" t="inlineStr">
        <is>
          <t>Ryan</t>
        </is>
      </c>
      <c r="T465" t="inlineStr">
        <is>
          <t>2024-03</t>
        </is>
      </c>
    </row>
    <row r="466">
      <c r="A466" s="16" t="n">
        <v>45416</v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D</t>
        </is>
      </c>
      <c r="G466" t="inlineStr">
        <is>
          <t>Wholesale</t>
        </is>
      </c>
      <c r="H466" t="n">
        <v>0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Cust 9879</t>
        </is>
      </c>
      <c r="P466" t="n">
        <v>31.51</v>
      </c>
      <c r="Q466" s="16" t="n">
        <v>45416</v>
      </c>
      <c r="R466" s="16" t="n">
        <v>45421</v>
      </c>
      <c r="S466" t="inlineStr">
        <is>
          <t>Wendy</t>
        </is>
      </c>
      <c r="T466" t="inlineStr">
        <is>
          <t>2024-05</t>
        </is>
      </c>
    </row>
    <row r="467">
      <c r="A467" s="16" t="n">
        <v>45715</v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A</t>
        </is>
      </c>
      <c r="G467" t="inlineStr">
        <is>
          <t>Retail</t>
        </is>
      </c>
      <c r="H467" t="n">
        <v>0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Cust 9069</t>
        </is>
      </c>
      <c r="P467" t="n">
        <v>38.99</v>
      </c>
      <c r="Q467" s="16" t="n">
        <v>45715</v>
      </c>
      <c r="R467" s="16" t="n">
        <v>45718</v>
      </c>
      <c r="S467" t="inlineStr">
        <is>
          <t>Sophie</t>
        </is>
      </c>
      <c r="T467" t="inlineStr">
        <is>
          <t>2025-02</t>
        </is>
      </c>
    </row>
    <row r="468">
      <c r="A468" s="16" t="n">
        <v>45609</v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B</t>
        </is>
      </c>
      <c r="G468" t="inlineStr">
        <is>
          <t>Wholesale</t>
        </is>
      </c>
      <c r="H468" t="n">
        <v>0.15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Cust 3712</t>
        </is>
      </c>
      <c r="P468" t="n">
        <v>11.6</v>
      </c>
      <c r="Q468" s="16" t="n">
        <v>45609</v>
      </c>
      <c r="R468" s="16" t="n">
        <v>45613</v>
      </c>
      <c r="S468" t="inlineStr">
        <is>
          <t>Cameron</t>
        </is>
      </c>
      <c r="T468" t="inlineStr">
        <is>
          <t>2024-11</t>
        </is>
      </c>
    </row>
    <row r="469">
      <c r="A469" s="16" t="n">
        <v>45230</v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0.1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Cust 3829</t>
        </is>
      </c>
      <c r="P469" t="n">
        <v>43.55</v>
      </c>
      <c r="Q469" s="16" t="n">
        <v>45230</v>
      </c>
      <c r="R469" s="16" t="n">
        <v>45240</v>
      </c>
      <c r="S469" t="inlineStr">
        <is>
          <t>Wendy</t>
        </is>
      </c>
      <c r="T469" t="inlineStr">
        <is>
          <t>2023-10</t>
        </is>
      </c>
    </row>
    <row r="470">
      <c r="A470" s="16" t="n">
        <v>45279</v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C</t>
        </is>
      </c>
      <c r="G470" t="inlineStr">
        <is>
          <t>Wholesale</t>
        </is>
      </c>
      <c r="H470" t="n">
        <v>0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Cust 1623</t>
        </is>
      </c>
      <c r="P470" t="n">
        <v>46.1</v>
      </c>
      <c r="Q470" s="16" t="n">
        <v>45279</v>
      </c>
      <c r="R470" s="16" t="n">
        <v>45284</v>
      </c>
      <c r="S470" t="inlineStr">
        <is>
          <t>Cameron</t>
        </is>
      </c>
      <c r="T470" t="inlineStr">
        <is>
          <t>2023-12</t>
        </is>
      </c>
    </row>
    <row r="471">
      <c r="A471" s="16" t="n">
        <v>45257</v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C</t>
        </is>
      </c>
      <c r="G471" t="inlineStr">
        <is>
          <t>Wholesale</t>
        </is>
      </c>
      <c r="H471" t="n">
        <v>0.05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Cust 3532</t>
        </is>
      </c>
      <c r="P471" t="n">
        <v>26.7</v>
      </c>
      <c r="Q471" s="16" t="n">
        <v>45257</v>
      </c>
      <c r="R471" s="16" t="n">
        <v>45263</v>
      </c>
      <c r="S471" t="inlineStr">
        <is>
          <t>Sophie</t>
        </is>
      </c>
      <c r="T471" t="inlineStr">
        <is>
          <t>2023-11</t>
        </is>
      </c>
    </row>
    <row r="472">
      <c r="A472" s="16" t="n">
        <v>45153</v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C</t>
        </is>
      </c>
      <c r="G472" t="inlineStr">
        <is>
          <t>Wholesale</t>
        </is>
      </c>
      <c r="H472" t="n">
        <v>0.05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Cust 4712</t>
        </is>
      </c>
      <c r="P472" t="n">
        <v>45.33</v>
      </c>
      <c r="Q472" s="16" t="n">
        <v>45153</v>
      </c>
      <c r="R472" s="16" t="n">
        <v>45156</v>
      </c>
      <c r="S472" t="inlineStr">
        <is>
          <t>Eric</t>
        </is>
      </c>
      <c r="T472" t="inlineStr">
        <is>
          <t>2023-08</t>
        </is>
      </c>
    </row>
    <row r="473">
      <c r="A473" s="16" t="n">
        <v>44942</v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0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Cust 6211</t>
        </is>
      </c>
      <c r="P473" t="n">
        <v>33.21</v>
      </c>
      <c r="Q473" s="16" t="n">
        <v>44942</v>
      </c>
      <c r="R473" s="16" t="n">
        <v>44950</v>
      </c>
      <c r="S473" t="inlineStr">
        <is>
          <t>Wendy</t>
        </is>
      </c>
      <c r="T473" t="inlineStr">
        <is>
          <t>2023-01</t>
        </is>
      </c>
    </row>
    <row r="474">
      <c r="A474" s="16" t="n">
        <v>45716</v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D</t>
        </is>
      </c>
      <c r="G474" t="inlineStr">
        <is>
          <t>Retail</t>
        </is>
      </c>
      <c r="H474" t="n">
        <v>0.1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Cust 1222</t>
        </is>
      </c>
      <c r="P474" t="n">
        <v>48.21</v>
      </c>
      <c r="Q474" s="16" t="n">
        <v>45716</v>
      </c>
      <c r="R474" s="16" t="n">
        <v>45724</v>
      </c>
      <c r="S474" t="inlineStr">
        <is>
          <t>Cameron</t>
        </is>
      </c>
      <c r="T474" t="inlineStr">
        <is>
          <t>2025-02</t>
        </is>
      </c>
    </row>
    <row r="475">
      <c r="A475" s="16" t="n">
        <v>45258</v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B</t>
        </is>
      </c>
      <c r="G475" t="inlineStr">
        <is>
          <t>Wholesale</t>
        </is>
      </c>
      <c r="H475" t="n">
        <v>0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Cust 6208</t>
        </is>
      </c>
      <c r="P475" t="n">
        <v>49.67</v>
      </c>
      <c r="Q475" s="16" t="n">
        <v>45258</v>
      </c>
      <c r="R475" s="16" t="n">
        <v>45261</v>
      </c>
      <c r="S475" t="inlineStr">
        <is>
          <t>Wendy</t>
        </is>
      </c>
      <c r="T475" t="inlineStr">
        <is>
          <t>2023-11</t>
        </is>
      </c>
    </row>
    <row r="476">
      <c r="A476" s="16" t="n">
        <v>45264</v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B</t>
        </is>
      </c>
      <c r="G476" t="inlineStr">
        <is>
          <t>Wholesale</t>
        </is>
      </c>
      <c r="H476" t="n">
        <v>0.1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Cust 5942</t>
        </is>
      </c>
      <c r="P476" t="n">
        <v>9.48</v>
      </c>
      <c r="Q476" s="16" t="n">
        <v>45264</v>
      </c>
      <c r="R476" s="16" t="n">
        <v>45273</v>
      </c>
      <c r="S476" t="inlineStr">
        <is>
          <t>Wendy</t>
        </is>
      </c>
      <c r="T476" t="inlineStr">
        <is>
          <t>2023-12</t>
        </is>
      </c>
    </row>
    <row r="477">
      <c r="A477" s="16" t="n">
        <v>45464</v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0.15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Cust 1745</t>
        </is>
      </c>
      <c r="P477" t="n">
        <v>18.85</v>
      </c>
      <c r="Q477" s="16" t="n">
        <v>45464</v>
      </c>
      <c r="R477" s="16" t="n">
        <v>45472</v>
      </c>
      <c r="S477" t="inlineStr">
        <is>
          <t>Sophie</t>
        </is>
      </c>
      <c r="T477" t="inlineStr">
        <is>
          <t>2024-06</t>
        </is>
      </c>
    </row>
    <row r="478">
      <c r="A478" s="16" t="n">
        <v>45733</v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A</t>
        </is>
      </c>
      <c r="G478" t="inlineStr">
        <is>
          <t>Wholesale</t>
        </is>
      </c>
      <c r="H478" t="n">
        <v>0.1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Cust 2679</t>
        </is>
      </c>
      <c r="P478" t="n">
        <v>43.28</v>
      </c>
      <c r="Q478" s="16" t="n">
        <v>45733</v>
      </c>
      <c r="R478" s="16" t="n">
        <v>45742</v>
      </c>
      <c r="S478" t="inlineStr">
        <is>
          <t>Eric</t>
        </is>
      </c>
      <c r="T478" t="inlineStr">
        <is>
          <t>2025-03</t>
        </is>
      </c>
    </row>
    <row r="479">
      <c r="A479" s="16" t="n">
        <v>45155</v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0.1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Cust 9907</t>
        </is>
      </c>
      <c r="P479" t="n">
        <v>20.55</v>
      </c>
      <c r="Q479" s="16" t="n">
        <v>45155</v>
      </c>
      <c r="R479" s="16" t="n">
        <v>45157</v>
      </c>
      <c r="S479" t="inlineStr">
        <is>
          <t>Cameron</t>
        </is>
      </c>
      <c r="T479" t="inlineStr">
        <is>
          <t>2023-08</t>
        </is>
      </c>
    </row>
    <row r="480">
      <c r="A480" s="16" t="n">
        <v>45168</v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0.05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Cust 5750</t>
        </is>
      </c>
      <c r="P480" t="n">
        <v>25.33</v>
      </c>
      <c r="Q480" s="16" t="n">
        <v>45168</v>
      </c>
      <c r="R480" s="16" t="n">
        <v>45174</v>
      </c>
      <c r="S480" t="inlineStr">
        <is>
          <t>Cameron</t>
        </is>
      </c>
      <c r="T480" t="inlineStr">
        <is>
          <t>2023-08</t>
        </is>
      </c>
    </row>
    <row r="481">
      <c r="A481" s="16" t="n">
        <v>45824</v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0.1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Cust 5717</t>
        </is>
      </c>
      <c r="P481" t="n">
        <v>30.57</v>
      </c>
      <c r="Q481" s="16" t="n">
        <v>45824</v>
      </c>
      <c r="R481" s="16" t="n">
        <v>45826</v>
      </c>
      <c r="S481" t="inlineStr">
        <is>
          <t>Eric</t>
        </is>
      </c>
      <c r="T481" t="inlineStr">
        <is>
          <t>2025-06</t>
        </is>
      </c>
    </row>
    <row r="482">
      <c r="A482" s="16" t="n">
        <v>45106</v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A</t>
        </is>
      </c>
      <c r="G482" t="inlineStr">
        <is>
          <t>Retail</t>
        </is>
      </c>
      <c r="H482" t="n">
        <v>0.1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Cust 7995</t>
        </is>
      </c>
      <c r="P482" t="n">
        <v>26.96</v>
      </c>
      <c r="Q482" s="16" t="n">
        <v>45106</v>
      </c>
      <c r="R482" s="16" t="n">
        <v>45116</v>
      </c>
      <c r="S482" t="inlineStr">
        <is>
          <t>Ryan</t>
        </is>
      </c>
      <c r="T482" t="inlineStr">
        <is>
          <t>2023-06</t>
        </is>
      </c>
    </row>
    <row r="483">
      <c r="A483" s="16" t="n">
        <v>45151</v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D</t>
        </is>
      </c>
      <c r="G483" t="inlineStr">
        <is>
          <t>Wholesale</t>
        </is>
      </c>
      <c r="H483" t="n">
        <v>0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Cust 5572</t>
        </is>
      </c>
      <c r="P483" t="n">
        <v>12.45</v>
      </c>
      <c r="Q483" s="16" t="n">
        <v>45151</v>
      </c>
      <c r="R483" s="16" t="n">
        <v>45158</v>
      </c>
      <c r="S483" t="inlineStr">
        <is>
          <t>Ryan</t>
        </is>
      </c>
      <c r="T483" t="inlineStr">
        <is>
          <t>2023-08</t>
        </is>
      </c>
    </row>
    <row r="484">
      <c r="A484" s="16" t="n">
        <v>45411</v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A</t>
        </is>
      </c>
      <c r="G484" t="inlineStr">
        <is>
          <t>Wholesale</t>
        </is>
      </c>
      <c r="H484" t="n">
        <v>0.05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Cust 1721</t>
        </is>
      </c>
      <c r="P484" t="n">
        <v>45.67</v>
      </c>
      <c r="Q484" s="16" t="n">
        <v>45411</v>
      </c>
      <c r="R484" s="16" t="n">
        <v>45419</v>
      </c>
      <c r="S484" t="inlineStr">
        <is>
          <t>Wendy</t>
        </is>
      </c>
      <c r="T484" t="inlineStr">
        <is>
          <t>2024-04</t>
        </is>
      </c>
    </row>
    <row r="485">
      <c r="A485" s="16" t="n">
        <v>45122</v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B</t>
        </is>
      </c>
      <c r="G485" t="inlineStr">
        <is>
          <t>Retail</t>
        </is>
      </c>
      <c r="H485" t="n">
        <v>0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Cust 2641</t>
        </is>
      </c>
      <c r="P485" t="n">
        <v>42.1</v>
      </c>
      <c r="Q485" s="16" t="n">
        <v>45122</v>
      </c>
      <c r="R485" s="16" t="n">
        <v>45132</v>
      </c>
      <c r="S485" t="inlineStr">
        <is>
          <t>Wendy</t>
        </is>
      </c>
      <c r="T485" t="inlineStr">
        <is>
          <t>2023-07</t>
        </is>
      </c>
    </row>
    <row r="486">
      <c r="A486" s="16" t="n">
        <v>45674</v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D</t>
        </is>
      </c>
      <c r="G486" t="inlineStr">
        <is>
          <t>Retail</t>
        </is>
      </c>
      <c r="H486" t="n">
        <v>0.1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Cust 9769</t>
        </is>
      </c>
      <c r="P486" t="n">
        <v>17.62</v>
      </c>
      <c r="Q486" s="16" t="n">
        <v>45674</v>
      </c>
      <c r="R486" s="16" t="n">
        <v>45680</v>
      </c>
      <c r="S486" t="inlineStr">
        <is>
          <t>Ryan</t>
        </is>
      </c>
      <c r="T486" t="inlineStr">
        <is>
          <t>2025-01</t>
        </is>
      </c>
    </row>
    <row r="487">
      <c r="A487" s="16" t="n">
        <v>45709</v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C</t>
        </is>
      </c>
      <c r="G487" t="inlineStr">
        <is>
          <t>Retail</t>
        </is>
      </c>
      <c r="H487" t="n">
        <v>0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Cust 1718</t>
        </is>
      </c>
      <c r="P487" t="n">
        <v>38.96</v>
      </c>
      <c r="Q487" s="16" t="n">
        <v>45709</v>
      </c>
      <c r="R487" s="16" t="n">
        <v>45719</v>
      </c>
      <c r="S487" t="inlineStr">
        <is>
          <t>Eric</t>
        </is>
      </c>
      <c r="T487" t="inlineStr">
        <is>
          <t>2025-02</t>
        </is>
      </c>
    </row>
    <row r="488">
      <c r="A488" s="16" t="n">
        <v>45126</v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0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Cust 1210</t>
        </is>
      </c>
      <c r="P488" t="n">
        <v>25.64</v>
      </c>
      <c r="Q488" s="16" t="n">
        <v>45126</v>
      </c>
      <c r="R488" s="16" t="n">
        <v>45133</v>
      </c>
      <c r="S488" t="inlineStr">
        <is>
          <t>Wendy</t>
        </is>
      </c>
      <c r="T488" t="inlineStr">
        <is>
          <t>2023-07</t>
        </is>
      </c>
    </row>
    <row r="489">
      <c r="A489" s="16" t="n">
        <v>45564</v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A</t>
        </is>
      </c>
      <c r="G489" t="inlineStr">
        <is>
          <t>Retail</t>
        </is>
      </c>
      <c r="H489" t="n">
        <v>0.05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Cust 7710</t>
        </is>
      </c>
      <c r="P489" t="n">
        <v>11.56</v>
      </c>
      <c r="Q489" s="16" t="n">
        <v>45564</v>
      </c>
      <c r="R489" s="16" t="n">
        <v>45571</v>
      </c>
      <c r="S489" t="inlineStr">
        <is>
          <t>Wendy</t>
        </is>
      </c>
      <c r="T489" t="inlineStr">
        <is>
          <t>2024-09</t>
        </is>
      </c>
    </row>
    <row r="490">
      <c r="A490" s="16" t="n">
        <v>45582</v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D</t>
        </is>
      </c>
      <c r="G490" t="inlineStr">
        <is>
          <t>Wholesale</t>
        </is>
      </c>
      <c r="H490" t="n">
        <v>0.15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Cust 1428</t>
        </is>
      </c>
      <c r="P490" t="n">
        <v>37.27</v>
      </c>
      <c r="Q490" s="16" t="n">
        <v>45582</v>
      </c>
      <c r="R490" s="16" t="n">
        <v>45586</v>
      </c>
      <c r="S490" t="inlineStr">
        <is>
          <t>Eric</t>
        </is>
      </c>
      <c r="T490" t="inlineStr">
        <is>
          <t>2024-10</t>
        </is>
      </c>
    </row>
    <row r="491">
      <c r="A491" s="16" t="n">
        <v>45819</v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B</t>
        </is>
      </c>
      <c r="G491" t="inlineStr">
        <is>
          <t>Retail</t>
        </is>
      </c>
      <c r="H491" t="n">
        <v>0.1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Cust 2810</t>
        </is>
      </c>
      <c r="P491" t="n">
        <v>38.04</v>
      </c>
      <c r="Q491" s="16" t="n">
        <v>45819</v>
      </c>
      <c r="R491" s="16" t="n">
        <v>45825</v>
      </c>
      <c r="S491" t="inlineStr">
        <is>
          <t>Eric</t>
        </is>
      </c>
      <c r="T491" t="inlineStr">
        <is>
          <t>2025-06</t>
        </is>
      </c>
    </row>
    <row r="492">
      <c r="A492" s="16" t="n">
        <v>45310</v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B</t>
        </is>
      </c>
      <c r="G492" t="inlineStr">
        <is>
          <t>Retail</t>
        </is>
      </c>
      <c r="H492" t="n">
        <v>0.1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Cust 2234</t>
        </is>
      </c>
      <c r="P492" t="n">
        <v>19.58</v>
      </c>
      <c r="Q492" s="16" t="n">
        <v>45310</v>
      </c>
      <c r="R492" s="16" t="n">
        <v>45320</v>
      </c>
      <c r="S492" t="inlineStr">
        <is>
          <t>Wendy</t>
        </is>
      </c>
      <c r="T492" t="inlineStr">
        <is>
          <t>2024-01</t>
        </is>
      </c>
    </row>
    <row r="493">
      <c r="A493" s="16" t="n">
        <v>45263</v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D</t>
        </is>
      </c>
      <c r="G493" t="inlineStr">
        <is>
          <t>Wholesale</t>
        </is>
      </c>
      <c r="H493" t="n">
        <v>0.15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Cust 9602</t>
        </is>
      </c>
      <c r="P493" t="n">
        <v>27.37</v>
      </c>
      <c r="Q493" s="16" t="n">
        <v>45263</v>
      </c>
      <c r="R493" s="16" t="n">
        <v>45265</v>
      </c>
      <c r="S493" t="inlineStr">
        <is>
          <t>Eric</t>
        </is>
      </c>
      <c r="T493" t="inlineStr">
        <is>
          <t>2023-12</t>
        </is>
      </c>
    </row>
    <row r="494">
      <c r="A494" s="16" t="n">
        <v>45462</v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A</t>
        </is>
      </c>
      <c r="G494" t="inlineStr">
        <is>
          <t>Wholesale</t>
        </is>
      </c>
      <c r="H494" t="n">
        <v>0.05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Cust 2546</t>
        </is>
      </c>
      <c r="P494" t="n">
        <v>18.75</v>
      </c>
      <c r="Q494" s="16" t="n">
        <v>45462</v>
      </c>
      <c r="R494" s="16" t="n">
        <v>45470</v>
      </c>
      <c r="S494" t="inlineStr">
        <is>
          <t>Cameron</t>
        </is>
      </c>
      <c r="T494" t="inlineStr">
        <is>
          <t>2024-06</t>
        </is>
      </c>
    </row>
    <row r="495">
      <c r="A495" s="16" t="n">
        <v>45581</v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C</t>
        </is>
      </c>
      <c r="G495" t="inlineStr">
        <is>
          <t>Retail</t>
        </is>
      </c>
      <c r="H495" t="n">
        <v>0.05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Cust 5032</t>
        </is>
      </c>
      <c r="P495" t="n">
        <v>11.5</v>
      </c>
      <c r="Q495" s="16" t="n">
        <v>45581</v>
      </c>
      <c r="R495" s="16" t="n">
        <v>45586</v>
      </c>
      <c r="S495" t="inlineStr">
        <is>
          <t>Wendy</t>
        </is>
      </c>
      <c r="T495" t="inlineStr">
        <is>
          <t>2024-10</t>
        </is>
      </c>
    </row>
    <row r="496">
      <c r="A496" s="16" t="n">
        <v>45680</v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0.15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Cust 4297</t>
        </is>
      </c>
      <c r="P496" t="n">
        <v>20.45</v>
      </c>
      <c r="Q496" s="16" t="n">
        <v>45680</v>
      </c>
      <c r="R496" s="16" t="n">
        <v>45684</v>
      </c>
      <c r="S496" t="inlineStr">
        <is>
          <t>Eric</t>
        </is>
      </c>
      <c r="T496" t="inlineStr">
        <is>
          <t>2025-01</t>
        </is>
      </c>
    </row>
    <row r="497">
      <c r="A497" s="16" t="n">
        <v>45201</v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A</t>
        </is>
      </c>
      <c r="G497" t="inlineStr">
        <is>
          <t>Wholesale</t>
        </is>
      </c>
      <c r="H497" t="n">
        <v>0.1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n">
        <v/>
      </c>
      <c r="M497" t="n">
        <v>0</v>
      </c>
      <c r="N497" t="inlineStr">
        <is>
          <t>REG100495</t>
        </is>
      </c>
      <c r="O497" t="inlineStr">
        <is>
          <t>Cust 6944</t>
        </is>
      </c>
      <c r="P497" t="n">
        <v>10.45</v>
      </c>
      <c r="Q497" s="16" t="n">
        <v>45201</v>
      </c>
      <c r="R497" s="16" t="n">
        <v>45209</v>
      </c>
      <c r="S497" t="inlineStr">
        <is>
          <t>Cameron</t>
        </is>
      </c>
      <c r="T497" t="inlineStr">
        <is>
          <t>2023-10</t>
        </is>
      </c>
    </row>
    <row r="498">
      <c r="A498" s="16" t="n">
        <v>45235</v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D</t>
        </is>
      </c>
      <c r="G498" t="inlineStr">
        <is>
          <t>Retail</t>
        </is>
      </c>
      <c r="H498" t="n">
        <v>0.1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Cust 4136</t>
        </is>
      </c>
      <c r="P498" t="n">
        <v>32.61</v>
      </c>
      <c r="Q498" s="16" t="n">
        <v>45235</v>
      </c>
      <c r="R498" s="16" t="n">
        <v>45237</v>
      </c>
      <c r="S498" t="inlineStr">
        <is>
          <t>Eric</t>
        </is>
      </c>
      <c r="T498" t="inlineStr">
        <is>
          <t>2023-11</t>
        </is>
      </c>
    </row>
    <row r="499">
      <c r="A499" s="16" t="n">
        <v>45095</v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C</t>
        </is>
      </c>
      <c r="G499" t="inlineStr">
        <is>
          <t>Wholesale</t>
        </is>
      </c>
      <c r="H499" t="n">
        <v>0.05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Cust 7460</t>
        </is>
      </c>
      <c r="P499" t="n">
        <v>14.69</v>
      </c>
      <c r="Q499" s="16" t="n">
        <v>45095</v>
      </c>
      <c r="R499" s="16" t="n">
        <v>45100</v>
      </c>
      <c r="S499" t="inlineStr">
        <is>
          <t>Sophie</t>
        </is>
      </c>
      <c r="T499" t="inlineStr">
        <is>
          <t>2023-06</t>
        </is>
      </c>
    </row>
    <row r="500">
      <c r="A500" s="16" t="n">
        <v>45488</v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A</t>
        </is>
      </c>
      <c r="G500" t="inlineStr">
        <is>
          <t>Retail</t>
        </is>
      </c>
      <c r="H500" t="n">
        <v>0.15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Cust 3960</t>
        </is>
      </c>
      <c r="P500" t="n">
        <v>36.33</v>
      </c>
      <c r="Q500" s="16" t="n">
        <v>45488</v>
      </c>
      <c r="R500" s="16" t="n">
        <v>45494</v>
      </c>
      <c r="S500" t="inlineStr">
        <is>
          <t>Cameron</t>
        </is>
      </c>
      <c r="T500" t="inlineStr">
        <is>
          <t>2024-07</t>
        </is>
      </c>
    </row>
    <row r="501">
      <c r="A501" s="16" t="n">
        <v>45457</v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C</t>
        </is>
      </c>
      <c r="G501" t="inlineStr">
        <is>
          <t>Wholesale</t>
        </is>
      </c>
      <c r="H501" t="n">
        <v>0.1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Cust 5530</t>
        </is>
      </c>
      <c r="P501" t="n">
        <v>25.34</v>
      </c>
      <c r="Q501" s="16" t="n">
        <v>45457</v>
      </c>
      <c r="R501" s="16" t="n">
        <v>45466</v>
      </c>
      <c r="S501" t="inlineStr">
        <is>
          <t>Cameron</t>
        </is>
      </c>
      <c r="T501" t="inlineStr">
        <is>
          <t>2024-06</t>
        </is>
      </c>
    </row>
    <row r="502">
      <c r="A502" s="16" t="n">
        <v>45387</v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D</t>
        </is>
      </c>
      <c r="G502" t="inlineStr">
        <is>
          <t>Wholesale</t>
        </is>
      </c>
      <c r="H502" t="n">
        <v>0.15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n">
        <v/>
      </c>
      <c r="M502" t="n">
        <v>0</v>
      </c>
      <c r="N502" t="inlineStr">
        <is>
          <t>REG100500</t>
        </is>
      </c>
      <c r="O502" t="inlineStr">
        <is>
          <t>Cust 3160</t>
        </is>
      </c>
      <c r="P502" t="n">
        <v>32.04</v>
      </c>
      <c r="Q502" s="16" t="n">
        <v>45387</v>
      </c>
      <c r="R502" s="16" t="n">
        <v>45392</v>
      </c>
      <c r="S502" t="inlineStr">
        <is>
          <t>Eric</t>
        </is>
      </c>
      <c r="T502" t="inlineStr">
        <is>
          <t>2024-04</t>
        </is>
      </c>
    </row>
    <row r="503">
      <c r="A503" s="16" t="n">
        <v>44984</v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B</t>
        </is>
      </c>
      <c r="G503" t="inlineStr">
        <is>
          <t>Retail</t>
        </is>
      </c>
      <c r="H503" t="n">
        <v>0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Cust 9641</t>
        </is>
      </c>
      <c r="P503" t="n">
        <v>14.53</v>
      </c>
      <c r="Q503" s="16" t="n">
        <v>44984</v>
      </c>
      <c r="R503" s="16" t="n">
        <v>44992</v>
      </c>
      <c r="S503" t="inlineStr">
        <is>
          <t>Ryan</t>
        </is>
      </c>
      <c r="T503" t="inlineStr">
        <is>
          <t>2023-02</t>
        </is>
      </c>
    </row>
    <row r="504">
      <c r="A504" s="16" t="n">
        <v>45138</v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D</t>
        </is>
      </c>
      <c r="G504" t="inlineStr">
        <is>
          <t>Retail</t>
        </is>
      </c>
      <c r="H504" t="n">
        <v>0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Cust 9742</t>
        </is>
      </c>
      <c r="P504" t="n">
        <v>35.63</v>
      </c>
      <c r="Q504" s="16" t="n">
        <v>45138</v>
      </c>
      <c r="R504" s="16" t="n">
        <v>45147</v>
      </c>
      <c r="S504" t="inlineStr">
        <is>
          <t>Wendy</t>
        </is>
      </c>
      <c r="T504" t="inlineStr">
        <is>
          <t>2023-07</t>
        </is>
      </c>
    </row>
    <row r="505">
      <c r="A505" s="16" t="n">
        <v>44988</v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0.15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Cust 1144</t>
        </is>
      </c>
      <c r="P505" t="n">
        <v>33.9</v>
      </c>
      <c r="Q505" s="16" t="n">
        <v>44988</v>
      </c>
      <c r="R505" s="16" t="n">
        <v>44995</v>
      </c>
      <c r="S505" t="inlineStr">
        <is>
          <t>Wendy</t>
        </is>
      </c>
      <c r="T505" t="inlineStr">
        <is>
          <t>2023-03</t>
        </is>
      </c>
    </row>
    <row r="506">
      <c r="A506" s="16" t="n">
        <v>45042</v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D</t>
        </is>
      </c>
      <c r="G506" t="inlineStr">
        <is>
          <t>Wholesale</t>
        </is>
      </c>
      <c r="H506" t="n">
        <v>0.1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Cust 2936</t>
        </is>
      </c>
      <c r="P506" t="n">
        <v>23.26</v>
      </c>
      <c r="Q506" s="16" t="n">
        <v>45042</v>
      </c>
      <c r="R506" s="16" t="n">
        <v>45044</v>
      </c>
      <c r="S506" t="inlineStr">
        <is>
          <t>Sophie</t>
        </is>
      </c>
      <c r="T506" t="inlineStr">
        <is>
          <t>2023-04</t>
        </is>
      </c>
    </row>
    <row r="507">
      <c r="A507" s="16" t="n">
        <v>45584</v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B</t>
        </is>
      </c>
      <c r="G507" t="inlineStr">
        <is>
          <t>Retail</t>
        </is>
      </c>
      <c r="H507" t="n">
        <v>0.1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Cust 3035</t>
        </is>
      </c>
      <c r="P507" t="n">
        <v>12.29</v>
      </c>
      <c r="Q507" s="16" t="n">
        <v>45584</v>
      </c>
      <c r="R507" s="16" t="n">
        <v>45592</v>
      </c>
      <c r="S507" t="inlineStr">
        <is>
          <t>Eric</t>
        </is>
      </c>
      <c r="T507" t="inlineStr">
        <is>
          <t>2024-10</t>
        </is>
      </c>
    </row>
    <row r="508">
      <c r="A508" s="16" t="n">
        <v>45473</v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0.15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Cust 1717</t>
        </is>
      </c>
      <c r="P508" t="n">
        <v>22.63</v>
      </c>
      <c r="Q508" s="16" t="n">
        <v>45473</v>
      </c>
      <c r="R508" s="16" t="n">
        <v>45477</v>
      </c>
      <c r="S508" t="inlineStr">
        <is>
          <t>Cameron</t>
        </is>
      </c>
      <c r="T508" t="inlineStr">
        <is>
          <t>2024-06</t>
        </is>
      </c>
    </row>
    <row r="509">
      <c r="A509" s="16" t="n">
        <v>45576</v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A</t>
        </is>
      </c>
      <c r="G509" t="inlineStr">
        <is>
          <t>Retail</t>
        </is>
      </c>
      <c r="H509" t="n">
        <v>0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Cust 4456</t>
        </is>
      </c>
      <c r="P509" t="n">
        <v>6.43</v>
      </c>
      <c r="Q509" s="16" t="n">
        <v>45576</v>
      </c>
      <c r="R509" s="16" t="n">
        <v>45584</v>
      </c>
      <c r="S509" t="inlineStr">
        <is>
          <t>Wendy</t>
        </is>
      </c>
      <c r="T509" t="inlineStr">
        <is>
          <t>2024-10</t>
        </is>
      </c>
    </row>
    <row r="510">
      <c r="A510" s="16" t="n">
        <v>45822</v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D</t>
        </is>
      </c>
      <c r="G510" t="inlineStr">
        <is>
          <t>Retail</t>
        </is>
      </c>
      <c r="H510" t="n">
        <v>0.1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Cust 6435</t>
        </is>
      </c>
      <c r="P510" t="n">
        <v>24.53</v>
      </c>
      <c r="Q510" s="16" t="n">
        <v>45822</v>
      </c>
      <c r="R510" s="16" t="n">
        <v>45831</v>
      </c>
      <c r="S510" t="inlineStr">
        <is>
          <t>Cameron</t>
        </is>
      </c>
      <c r="T510" t="inlineStr">
        <is>
          <t>2025-06</t>
        </is>
      </c>
    </row>
    <row r="511">
      <c r="A511" s="16" t="n">
        <v>45648</v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D</t>
        </is>
      </c>
      <c r="G511" t="inlineStr">
        <is>
          <t>Wholesale</t>
        </is>
      </c>
      <c r="H511" t="n">
        <v>0.1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n">
        <v/>
      </c>
      <c r="M511" t="n">
        <v>0</v>
      </c>
      <c r="N511" t="inlineStr">
        <is>
          <t>REG100509</t>
        </is>
      </c>
      <c r="O511" t="inlineStr">
        <is>
          <t>Cust 9352</t>
        </is>
      </c>
      <c r="P511" t="n">
        <v>8.869999999999999</v>
      </c>
      <c r="Q511" s="16" t="n">
        <v>45648</v>
      </c>
      <c r="R511" s="16" t="n">
        <v>45656</v>
      </c>
      <c r="S511" t="inlineStr">
        <is>
          <t>Eric</t>
        </is>
      </c>
      <c r="T511" t="inlineStr">
        <is>
          <t>2024-12</t>
        </is>
      </c>
    </row>
    <row r="512">
      <c r="A512" s="16" t="n">
        <v>45404</v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C</t>
        </is>
      </c>
      <c r="G512" t="inlineStr">
        <is>
          <t>Wholesale</t>
        </is>
      </c>
      <c r="H512" t="n">
        <v>0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Cust 6746</t>
        </is>
      </c>
      <c r="P512" t="n">
        <v>17.72</v>
      </c>
      <c r="Q512" s="16" t="n">
        <v>45404</v>
      </c>
      <c r="R512" s="16" t="n">
        <v>45407</v>
      </c>
      <c r="S512" t="inlineStr">
        <is>
          <t>Wendy</t>
        </is>
      </c>
      <c r="T512" t="inlineStr">
        <is>
          <t>2024-04</t>
        </is>
      </c>
    </row>
    <row r="513">
      <c r="A513" s="16" t="n">
        <v>45682</v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B</t>
        </is>
      </c>
      <c r="G513" t="inlineStr">
        <is>
          <t>Retail</t>
        </is>
      </c>
      <c r="H513" t="n">
        <v>0.15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n">
        <v/>
      </c>
      <c r="M513" t="n">
        <v>0</v>
      </c>
      <c r="N513" t="inlineStr">
        <is>
          <t>REG100511</t>
        </is>
      </c>
      <c r="O513" t="inlineStr">
        <is>
          <t>Cust 8189</t>
        </is>
      </c>
      <c r="P513" t="n">
        <v>45.89</v>
      </c>
      <c r="Q513" s="16" t="n">
        <v>45682</v>
      </c>
      <c r="R513" s="16" t="n">
        <v>45686</v>
      </c>
      <c r="S513" t="inlineStr">
        <is>
          <t>Ryan</t>
        </is>
      </c>
      <c r="T513" t="inlineStr">
        <is>
          <t>2025-01</t>
        </is>
      </c>
    </row>
    <row r="514">
      <c r="A514" s="16" t="n">
        <v>45609</v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0.15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n">
        <v/>
      </c>
      <c r="M514" t="n">
        <v>0</v>
      </c>
      <c r="N514" t="inlineStr">
        <is>
          <t>REG100512</t>
        </is>
      </c>
      <c r="O514" t="inlineStr">
        <is>
          <t>Cust 8470</t>
        </is>
      </c>
      <c r="P514" t="n">
        <v>15.74</v>
      </c>
      <c r="Q514" s="16" t="n">
        <v>45609</v>
      </c>
      <c r="R514" s="16" t="n">
        <v>45615</v>
      </c>
      <c r="S514" t="inlineStr">
        <is>
          <t>Ryan</t>
        </is>
      </c>
      <c r="T514" t="inlineStr">
        <is>
          <t>2024-11</t>
        </is>
      </c>
    </row>
    <row r="515">
      <c r="A515" s="16" t="n">
        <v>45001</v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0.15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n">
        <v/>
      </c>
      <c r="M515" t="n">
        <v>0</v>
      </c>
      <c r="N515" t="inlineStr">
        <is>
          <t>REG100513</t>
        </is>
      </c>
      <c r="O515" t="inlineStr">
        <is>
          <t>Cust 1044</t>
        </is>
      </c>
      <c r="P515" t="n">
        <v>42.07</v>
      </c>
      <c r="Q515" s="16" t="n">
        <v>45001</v>
      </c>
      <c r="R515" s="16" t="n">
        <v>45006</v>
      </c>
      <c r="S515" t="inlineStr">
        <is>
          <t>Eric</t>
        </is>
      </c>
      <c r="T515" t="inlineStr">
        <is>
          <t>2023-03</t>
        </is>
      </c>
    </row>
    <row r="516">
      <c r="A516" s="16" t="n">
        <v>45052</v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0.1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n">
        <v/>
      </c>
      <c r="M516" t="n">
        <v>1</v>
      </c>
      <c r="N516" t="inlineStr">
        <is>
          <t>REG100514</t>
        </is>
      </c>
      <c r="O516" t="inlineStr">
        <is>
          <t>Cust 4010</t>
        </is>
      </c>
      <c r="P516" t="n">
        <v>28.55</v>
      </c>
      <c r="Q516" s="16" t="n">
        <v>45052</v>
      </c>
      <c r="R516" s="16" t="n">
        <v>45061</v>
      </c>
      <c r="S516" t="inlineStr">
        <is>
          <t>Ryan</t>
        </is>
      </c>
      <c r="T516" t="inlineStr">
        <is>
          <t>2023-05</t>
        </is>
      </c>
    </row>
    <row r="517">
      <c r="A517" s="16" t="n">
        <v>45611</v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C</t>
        </is>
      </c>
      <c r="G517" t="inlineStr">
        <is>
          <t>Wholesale</t>
        </is>
      </c>
      <c r="H517" t="n">
        <v>0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Cust 1385</t>
        </is>
      </c>
      <c r="P517" t="n">
        <v>21.01</v>
      </c>
      <c r="Q517" s="16" t="n">
        <v>45611</v>
      </c>
      <c r="R517" s="16" t="n">
        <v>45613</v>
      </c>
      <c r="S517" t="inlineStr">
        <is>
          <t>Eric</t>
        </is>
      </c>
      <c r="T517" t="inlineStr">
        <is>
          <t>2024-11</t>
        </is>
      </c>
    </row>
    <row r="518">
      <c r="A518" s="16" t="n">
        <v>45471</v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D</t>
        </is>
      </c>
      <c r="G518" t="inlineStr">
        <is>
          <t>Retail</t>
        </is>
      </c>
      <c r="H518" t="n">
        <v>0.05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Cust 1904</t>
        </is>
      </c>
      <c r="P518" t="n">
        <v>38.22</v>
      </c>
      <c r="Q518" s="16" t="n">
        <v>45471</v>
      </c>
      <c r="R518" s="16" t="n">
        <v>45478</v>
      </c>
      <c r="S518" t="inlineStr">
        <is>
          <t>Cameron</t>
        </is>
      </c>
      <c r="T518" t="inlineStr">
        <is>
          <t>2024-06</t>
        </is>
      </c>
    </row>
    <row r="519">
      <c r="A519" s="16" t="n">
        <v>45788</v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0.15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n">
        <v/>
      </c>
      <c r="M519" t="n">
        <v>0</v>
      </c>
      <c r="N519" t="inlineStr">
        <is>
          <t>REG100517</t>
        </is>
      </c>
      <c r="O519" t="inlineStr">
        <is>
          <t>Cust 6034</t>
        </is>
      </c>
      <c r="P519" t="n">
        <v>10.02</v>
      </c>
      <c r="Q519" s="16" t="n">
        <v>45788</v>
      </c>
      <c r="R519" s="16" t="n">
        <v>45797</v>
      </c>
      <c r="S519" t="inlineStr">
        <is>
          <t>Cameron</t>
        </is>
      </c>
      <c r="T519" t="inlineStr">
        <is>
          <t>2025-05</t>
        </is>
      </c>
    </row>
    <row r="520">
      <c r="A520" s="16" t="n">
        <v>44983</v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C</t>
        </is>
      </c>
      <c r="G520" t="inlineStr">
        <is>
          <t>Retail</t>
        </is>
      </c>
      <c r="H520" t="n">
        <v>0.1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Cust 9239</t>
        </is>
      </c>
      <c r="P520" t="n">
        <v>44.73</v>
      </c>
      <c r="Q520" s="16" t="n">
        <v>44983</v>
      </c>
      <c r="R520" s="16" t="n">
        <v>44989</v>
      </c>
      <c r="S520" t="inlineStr">
        <is>
          <t>Cameron</t>
        </is>
      </c>
      <c r="T520" t="inlineStr">
        <is>
          <t>2023-02</t>
        </is>
      </c>
    </row>
    <row r="521">
      <c r="A521" s="16" t="n">
        <v>45412</v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A</t>
        </is>
      </c>
      <c r="G521" t="inlineStr">
        <is>
          <t>Retail</t>
        </is>
      </c>
      <c r="H521" t="n">
        <v>0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Cust 5678</t>
        </is>
      </c>
      <c r="P521" t="n">
        <v>8.02</v>
      </c>
      <c r="Q521" s="16" t="n">
        <v>45412</v>
      </c>
      <c r="R521" s="16" t="n">
        <v>45419</v>
      </c>
      <c r="S521" t="inlineStr">
        <is>
          <t>Sophie</t>
        </is>
      </c>
      <c r="T521" t="inlineStr">
        <is>
          <t>2024-04</t>
        </is>
      </c>
    </row>
    <row r="522">
      <c r="A522" s="16" t="n">
        <v>45727</v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B</t>
        </is>
      </c>
      <c r="G522" t="inlineStr">
        <is>
          <t>Retail</t>
        </is>
      </c>
      <c r="H522" t="n">
        <v>0.15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n">
        <v/>
      </c>
      <c r="M522" t="n">
        <v>1</v>
      </c>
      <c r="N522" t="inlineStr">
        <is>
          <t>REG100520</t>
        </is>
      </c>
      <c r="O522" t="inlineStr">
        <is>
          <t>Cust 3696</t>
        </is>
      </c>
      <c r="P522" t="n">
        <v>31.4</v>
      </c>
      <c r="Q522" s="16" t="n">
        <v>45727</v>
      </c>
      <c r="R522" s="16" t="n">
        <v>45729</v>
      </c>
      <c r="S522" t="inlineStr">
        <is>
          <t>Eric</t>
        </is>
      </c>
      <c r="T522" t="inlineStr">
        <is>
          <t>2025-03</t>
        </is>
      </c>
    </row>
    <row r="523">
      <c r="A523" s="16" t="n">
        <v>45838</v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A</t>
        </is>
      </c>
      <c r="G523" t="inlineStr">
        <is>
          <t>Wholesale</t>
        </is>
      </c>
      <c r="H523" t="n">
        <v>0.05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n">
        <v/>
      </c>
      <c r="M523" t="n">
        <v>0</v>
      </c>
      <c r="N523" t="inlineStr">
        <is>
          <t>REG100521</t>
        </is>
      </c>
      <c r="O523" t="inlineStr">
        <is>
          <t>Cust 9025</t>
        </is>
      </c>
      <c r="P523" t="n">
        <v>37.33</v>
      </c>
      <c r="Q523" s="16" t="n">
        <v>45838</v>
      </c>
      <c r="R523" s="16" t="n">
        <v>45848</v>
      </c>
      <c r="S523" t="inlineStr">
        <is>
          <t>Eric</t>
        </is>
      </c>
      <c r="T523" t="inlineStr">
        <is>
          <t>2025-06</t>
        </is>
      </c>
    </row>
    <row r="524">
      <c r="A524" s="16" t="n">
        <v>45445</v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C</t>
        </is>
      </c>
      <c r="G524" t="inlineStr">
        <is>
          <t>Wholesale</t>
        </is>
      </c>
      <c r="H524" t="n">
        <v>0.05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Cust 9924</t>
        </is>
      </c>
      <c r="P524" t="n">
        <v>25.19</v>
      </c>
      <c r="Q524" s="16" t="n">
        <v>45445</v>
      </c>
      <c r="R524" s="16" t="n">
        <v>45451</v>
      </c>
      <c r="S524" t="inlineStr">
        <is>
          <t>Ryan</t>
        </is>
      </c>
      <c r="T524" t="inlineStr">
        <is>
          <t>2024-06</t>
        </is>
      </c>
    </row>
    <row r="525">
      <c r="A525" s="16" t="n">
        <v>45536</v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D</t>
        </is>
      </c>
      <c r="G525" t="inlineStr">
        <is>
          <t>Wholesale</t>
        </is>
      </c>
      <c r="H525" t="n">
        <v>0.15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Cust 3887</t>
        </is>
      </c>
      <c r="P525" t="n">
        <v>7.89</v>
      </c>
      <c r="Q525" s="16" t="n">
        <v>45536</v>
      </c>
      <c r="R525" s="16" t="n">
        <v>45540</v>
      </c>
      <c r="S525" t="inlineStr">
        <is>
          <t>Sophie</t>
        </is>
      </c>
      <c r="T525" t="inlineStr">
        <is>
          <t>2024-09</t>
        </is>
      </c>
    </row>
    <row r="526">
      <c r="A526" s="16" t="n">
        <v>45668</v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B</t>
        </is>
      </c>
      <c r="G526" t="inlineStr">
        <is>
          <t>Retail</t>
        </is>
      </c>
      <c r="H526" t="n">
        <v>0.1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n">
        <v/>
      </c>
      <c r="M526" t="n">
        <v>0</v>
      </c>
      <c r="N526" t="inlineStr">
        <is>
          <t>REG100524</t>
        </is>
      </c>
      <c r="O526" t="inlineStr">
        <is>
          <t>Cust 5302</t>
        </is>
      </c>
      <c r="P526" t="n">
        <v>47.18</v>
      </c>
      <c r="Q526" s="16" t="n">
        <v>45668</v>
      </c>
      <c r="R526" s="16" t="n">
        <v>45675</v>
      </c>
      <c r="S526" t="inlineStr">
        <is>
          <t>Sophie</t>
        </is>
      </c>
      <c r="T526" t="inlineStr">
        <is>
          <t>2025-01</t>
        </is>
      </c>
    </row>
    <row r="527">
      <c r="A527" s="16" t="n">
        <v>45747</v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A</t>
        </is>
      </c>
      <c r="G527" t="inlineStr">
        <is>
          <t>Wholesale</t>
        </is>
      </c>
      <c r="H527" t="n">
        <v>0.15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Cust 2290</t>
        </is>
      </c>
      <c r="P527" t="n">
        <v>18.95</v>
      </c>
      <c r="Q527" s="16" t="n">
        <v>45747</v>
      </c>
      <c r="R527" s="16" t="n">
        <v>45750</v>
      </c>
      <c r="S527" t="inlineStr">
        <is>
          <t>Sophie</t>
        </is>
      </c>
      <c r="T527" t="inlineStr">
        <is>
          <t>2025-03</t>
        </is>
      </c>
    </row>
    <row r="528">
      <c r="A528" s="16" t="n">
        <v>45624</v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B</t>
        </is>
      </c>
      <c r="G528" t="inlineStr">
        <is>
          <t>Retail</t>
        </is>
      </c>
      <c r="H528" t="n">
        <v>0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n">
        <v/>
      </c>
      <c r="M528" t="n">
        <v>0</v>
      </c>
      <c r="N528" t="inlineStr">
        <is>
          <t>REG100526</t>
        </is>
      </c>
      <c r="O528" t="inlineStr">
        <is>
          <t>Cust 2227</t>
        </is>
      </c>
      <c r="P528" t="n">
        <v>23.68</v>
      </c>
      <c r="Q528" s="16" t="n">
        <v>45624</v>
      </c>
      <c r="R528" s="16" t="n">
        <v>45631</v>
      </c>
      <c r="S528" t="inlineStr">
        <is>
          <t>Sophie</t>
        </is>
      </c>
      <c r="T528" t="inlineStr">
        <is>
          <t>2024-11</t>
        </is>
      </c>
    </row>
    <row r="529">
      <c r="A529" s="16" t="n">
        <v>45112</v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D</t>
        </is>
      </c>
      <c r="G529" t="inlineStr">
        <is>
          <t>Retail</t>
        </is>
      </c>
      <c r="H529" t="n">
        <v>0.15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Cust 1726</t>
        </is>
      </c>
      <c r="P529" t="n">
        <v>44.46</v>
      </c>
      <c r="Q529" s="16" t="n">
        <v>45112</v>
      </c>
      <c r="R529" s="16" t="n">
        <v>45114</v>
      </c>
      <c r="S529" t="inlineStr">
        <is>
          <t>Ryan</t>
        </is>
      </c>
      <c r="T529" t="inlineStr">
        <is>
          <t>2023-07</t>
        </is>
      </c>
    </row>
    <row r="530">
      <c r="A530" s="16" t="n">
        <v>45589</v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D</t>
        </is>
      </c>
      <c r="G530" t="inlineStr">
        <is>
          <t>Retail</t>
        </is>
      </c>
      <c r="H530" t="n">
        <v>0.05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Cust 9874</t>
        </is>
      </c>
      <c r="P530" t="n">
        <v>5.71</v>
      </c>
      <c r="Q530" s="16" t="n">
        <v>45589</v>
      </c>
      <c r="R530" s="16" t="n">
        <v>45599</v>
      </c>
      <c r="S530" t="inlineStr">
        <is>
          <t>Wendy</t>
        </is>
      </c>
      <c r="T530" t="inlineStr">
        <is>
          <t>2024-10</t>
        </is>
      </c>
    </row>
    <row r="531">
      <c r="A531" s="16" t="n">
        <v>45755</v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C</t>
        </is>
      </c>
      <c r="G531" t="inlineStr">
        <is>
          <t>Retail</t>
        </is>
      </c>
      <c r="H531" t="n">
        <v>0.1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Cust 1774</t>
        </is>
      </c>
      <c r="P531" t="n">
        <v>11.39</v>
      </c>
      <c r="Q531" s="16" t="n">
        <v>45755</v>
      </c>
      <c r="R531" s="16" t="n">
        <v>45763</v>
      </c>
      <c r="S531" t="inlineStr">
        <is>
          <t>Ryan</t>
        </is>
      </c>
      <c r="T531" t="inlineStr">
        <is>
          <t>2025-04</t>
        </is>
      </c>
    </row>
    <row r="532">
      <c r="A532" s="16" t="n">
        <v>45448</v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0.15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Cust 2414</t>
        </is>
      </c>
      <c r="P532" t="n">
        <v>38.02</v>
      </c>
      <c r="Q532" s="16" t="n">
        <v>45448</v>
      </c>
      <c r="R532" s="16" t="n">
        <v>45453</v>
      </c>
      <c r="S532" t="inlineStr">
        <is>
          <t>Eric</t>
        </is>
      </c>
      <c r="T532" t="inlineStr">
        <is>
          <t>2024-06</t>
        </is>
      </c>
    </row>
    <row r="533">
      <c r="A533" s="16" t="n">
        <v>45680</v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A</t>
        </is>
      </c>
      <c r="G533" t="inlineStr">
        <is>
          <t>Retail</t>
        </is>
      </c>
      <c r="H533" t="n">
        <v>0.15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Cust 6534</t>
        </is>
      </c>
      <c r="P533" t="n">
        <v>6.83</v>
      </c>
      <c r="Q533" s="16" t="n">
        <v>45680</v>
      </c>
      <c r="R533" s="16" t="n">
        <v>45686</v>
      </c>
      <c r="S533" t="inlineStr">
        <is>
          <t>Wendy</t>
        </is>
      </c>
      <c r="T533" t="inlineStr">
        <is>
          <t>2025-01</t>
        </is>
      </c>
    </row>
    <row r="534">
      <c r="A534" s="16" t="n">
        <v>45600</v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D</t>
        </is>
      </c>
      <c r="G534" t="inlineStr">
        <is>
          <t>Retail</t>
        </is>
      </c>
      <c r="H534" t="n">
        <v>0.05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Cust 3170</t>
        </is>
      </c>
      <c r="P534" t="n">
        <v>8.06</v>
      </c>
      <c r="Q534" s="16" t="n">
        <v>45600</v>
      </c>
      <c r="R534" s="16" t="n">
        <v>45608</v>
      </c>
      <c r="S534" t="inlineStr">
        <is>
          <t>Cameron</t>
        </is>
      </c>
      <c r="T534" t="inlineStr">
        <is>
          <t>2024-11</t>
        </is>
      </c>
    </row>
    <row r="535">
      <c r="A535" s="16" t="n">
        <v>45292</v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0.15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n">
        <v/>
      </c>
      <c r="M535" t="n">
        <v>0</v>
      </c>
      <c r="N535" t="inlineStr">
        <is>
          <t>REG100533</t>
        </is>
      </c>
      <c r="O535" t="inlineStr">
        <is>
          <t>Cust 5438</t>
        </is>
      </c>
      <c r="P535" t="n">
        <v>6.76</v>
      </c>
      <c r="Q535" s="16" t="n">
        <v>45292</v>
      </c>
      <c r="R535" s="16" t="n">
        <v>45296</v>
      </c>
      <c r="S535" t="inlineStr">
        <is>
          <t>Wendy</t>
        </is>
      </c>
      <c r="T535" t="inlineStr">
        <is>
          <t>2024-01</t>
        </is>
      </c>
    </row>
    <row r="536">
      <c r="A536" s="16" t="n">
        <v>45391</v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D</t>
        </is>
      </c>
      <c r="G536" t="inlineStr">
        <is>
          <t>Wholesale</t>
        </is>
      </c>
      <c r="H536" t="n">
        <v>0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Cust 2670</t>
        </is>
      </c>
      <c r="P536" t="n">
        <v>36.35</v>
      </c>
      <c r="Q536" s="16" t="n">
        <v>45391</v>
      </c>
      <c r="R536" s="16" t="n">
        <v>45399</v>
      </c>
      <c r="S536" t="inlineStr">
        <is>
          <t>Cameron</t>
        </is>
      </c>
      <c r="T536" t="inlineStr">
        <is>
          <t>2024-04</t>
        </is>
      </c>
    </row>
    <row r="537">
      <c r="A537" s="16" t="n">
        <v>45674</v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0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Cust 8949</t>
        </is>
      </c>
      <c r="P537" t="n">
        <v>29.75</v>
      </c>
      <c r="Q537" s="16" t="n">
        <v>45674</v>
      </c>
      <c r="R537" s="16" t="n">
        <v>45682</v>
      </c>
      <c r="S537" t="inlineStr">
        <is>
          <t>Ryan</t>
        </is>
      </c>
      <c r="T537" t="inlineStr">
        <is>
          <t>2025-01</t>
        </is>
      </c>
    </row>
    <row r="538">
      <c r="A538" s="16" t="n">
        <v>45557</v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D</t>
        </is>
      </c>
      <c r="G538" t="inlineStr">
        <is>
          <t>Wholesale</t>
        </is>
      </c>
      <c r="H538" t="n">
        <v>0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Cust 9748</t>
        </is>
      </c>
      <c r="P538" t="n">
        <v>35.32</v>
      </c>
      <c r="Q538" s="16" t="n">
        <v>45557</v>
      </c>
      <c r="R538" s="16" t="n">
        <v>45564</v>
      </c>
      <c r="S538" t="inlineStr">
        <is>
          <t>Eric</t>
        </is>
      </c>
      <c r="T538" t="inlineStr">
        <is>
          <t>2024-09</t>
        </is>
      </c>
    </row>
    <row r="539">
      <c r="A539" s="16" t="n">
        <v>44946</v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C</t>
        </is>
      </c>
      <c r="G539" t="inlineStr">
        <is>
          <t>Retail</t>
        </is>
      </c>
      <c r="H539" t="n">
        <v>0.1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Cust 1220</t>
        </is>
      </c>
      <c r="P539" t="n">
        <v>45.59</v>
      </c>
      <c r="Q539" s="16" t="n">
        <v>44946</v>
      </c>
      <c r="R539" s="16" t="n">
        <v>44951</v>
      </c>
      <c r="S539" t="inlineStr">
        <is>
          <t>Eric</t>
        </is>
      </c>
      <c r="T539" t="inlineStr">
        <is>
          <t>2023-01</t>
        </is>
      </c>
    </row>
    <row r="540">
      <c r="A540" s="16" t="n">
        <v>45303</v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A</t>
        </is>
      </c>
      <c r="G540" t="inlineStr">
        <is>
          <t>Wholesale</t>
        </is>
      </c>
      <c r="H540" t="n">
        <v>0.15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Cust 5645</t>
        </is>
      </c>
      <c r="P540" t="n">
        <v>36.04</v>
      </c>
      <c r="Q540" s="16" t="n">
        <v>45303</v>
      </c>
      <c r="R540" s="16" t="n">
        <v>45313</v>
      </c>
      <c r="S540" t="inlineStr">
        <is>
          <t>Ryan</t>
        </is>
      </c>
      <c r="T540" t="inlineStr">
        <is>
          <t>2024-01</t>
        </is>
      </c>
    </row>
    <row r="541">
      <c r="A541" s="16" t="n">
        <v>45390</v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D</t>
        </is>
      </c>
      <c r="G541" t="inlineStr">
        <is>
          <t>Wholesale</t>
        </is>
      </c>
      <c r="H541" t="n">
        <v>0.05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Cust 6577</t>
        </is>
      </c>
      <c r="P541" t="n">
        <v>36.71</v>
      </c>
      <c r="Q541" s="16" t="n">
        <v>45390</v>
      </c>
      <c r="R541" s="16" t="n">
        <v>45397</v>
      </c>
      <c r="S541" t="inlineStr">
        <is>
          <t>Cameron</t>
        </is>
      </c>
      <c r="T541" t="inlineStr">
        <is>
          <t>2024-04</t>
        </is>
      </c>
    </row>
    <row r="542">
      <c r="A542" s="16" t="n">
        <v>45043</v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0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n">
        <v/>
      </c>
      <c r="M542" t="n">
        <v>0</v>
      </c>
      <c r="N542" t="inlineStr">
        <is>
          <t>REG100540</t>
        </is>
      </c>
      <c r="O542" t="inlineStr">
        <is>
          <t>Cust 9506</t>
        </is>
      </c>
      <c r="P542" t="n">
        <v>48.26</v>
      </c>
      <c r="Q542" s="16" t="n">
        <v>45043</v>
      </c>
      <c r="R542" s="16" t="n">
        <v>45047</v>
      </c>
      <c r="S542" t="inlineStr">
        <is>
          <t>Cameron</t>
        </is>
      </c>
      <c r="T542" t="inlineStr">
        <is>
          <t>2023-04</t>
        </is>
      </c>
    </row>
    <row r="543">
      <c r="A543" s="16" t="n">
        <v>45490</v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0.15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n">
        <v/>
      </c>
      <c r="M543" t="n">
        <v>0</v>
      </c>
      <c r="N543" t="inlineStr">
        <is>
          <t>REG100541</t>
        </is>
      </c>
      <c r="O543" t="inlineStr">
        <is>
          <t>Cust 9302</t>
        </is>
      </c>
      <c r="P543" t="n">
        <v>44.99</v>
      </c>
      <c r="Q543" s="16" t="n">
        <v>45490</v>
      </c>
      <c r="R543" s="16" t="n">
        <v>45498</v>
      </c>
      <c r="S543" t="inlineStr">
        <is>
          <t>Ryan</t>
        </is>
      </c>
      <c r="T543" t="inlineStr">
        <is>
          <t>2024-07</t>
        </is>
      </c>
    </row>
    <row r="544">
      <c r="A544" s="16" t="n">
        <v>45339</v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0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Cust 3030</t>
        </is>
      </c>
      <c r="P544" t="n">
        <v>41.72</v>
      </c>
      <c r="Q544" s="16" t="n">
        <v>45339</v>
      </c>
      <c r="R544" s="16" t="n">
        <v>45345</v>
      </c>
      <c r="S544" t="inlineStr">
        <is>
          <t>Cameron</t>
        </is>
      </c>
      <c r="T544" t="inlineStr">
        <is>
          <t>2024-02</t>
        </is>
      </c>
    </row>
    <row r="545">
      <c r="A545" s="16" t="n">
        <v>45316</v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A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Cust 5896</t>
        </is>
      </c>
      <c r="P545" t="n">
        <v>41.87</v>
      </c>
      <c r="Q545" s="16" t="n">
        <v>45316</v>
      </c>
      <c r="R545" s="16" t="n">
        <v>45324</v>
      </c>
      <c r="S545" t="inlineStr">
        <is>
          <t>Sophie</t>
        </is>
      </c>
      <c r="T545" t="inlineStr">
        <is>
          <t>2024-01</t>
        </is>
      </c>
    </row>
    <row r="546">
      <c r="A546" s="16" t="n">
        <v>45375</v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D</t>
        </is>
      </c>
      <c r="G546" t="inlineStr">
        <is>
          <t>Retail</t>
        </is>
      </c>
      <c r="H546" t="n">
        <v>0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n">
        <v/>
      </c>
      <c r="M546" t="n">
        <v>1</v>
      </c>
      <c r="N546" t="inlineStr">
        <is>
          <t>REG100544</t>
        </is>
      </c>
      <c r="O546" t="inlineStr">
        <is>
          <t>Cust 3763</t>
        </is>
      </c>
      <c r="P546" t="n">
        <v>24.53</v>
      </c>
      <c r="Q546" s="16" t="n">
        <v>45375</v>
      </c>
      <c r="R546" s="16" t="n">
        <v>45384</v>
      </c>
      <c r="S546" t="inlineStr">
        <is>
          <t>Cameron</t>
        </is>
      </c>
      <c r="T546" t="inlineStr">
        <is>
          <t>2024-03</t>
        </is>
      </c>
    </row>
    <row r="547">
      <c r="A547" s="16" t="n">
        <v>45102</v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D</t>
        </is>
      </c>
      <c r="G547" t="inlineStr">
        <is>
          <t>Retail</t>
        </is>
      </c>
      <c r="H547" t="n">
        <v>0.15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Cust 9510</t>
        </is>
      </c>
      <c r="P547" t="n">
        <v>35.84</v>
      </c>
      <c r="Q547" s="16" t="n">
        <v>45102</v>
      </c>
      <c r="R547" s="16" t="n">
        <v>45104</v>
      </c>
      <c r="S547" t="inlineStr">
        <is>
          <t>Ryan</t>
        </is>
      </c>
      <c r="T547" t="inlineStr">
        <is>
          <t>2023-06</t>
        </is>
      </c>
    </row>
    <row r="548">
      <c r="A548" s="16" t="n">
        <v>45033</v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B</t>
        </is>
      </c>
      <c r="G548" t="inlineStr">
        <is>
          <t>Wholesale</t>
        </is>
      </c>
      <c r="H548" t="n">
        <v>0.15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Cust 7637</t>
        </is>
      </c>
      <c r="P548" t="n">
        <v>22.05</v>
      </c>
      <c r="Q548" s="16" t="n">
        <v>45033</v>
      </c>
      <c r="R548" s="16" t="n">
        <v>45036</v>
      </c>
      <c r="S548" t="inlineStr">
        <is>
          <t>Sophie</t>
        </is>
      </c>
      <c r="T548" t="inlineStr">
        <is>
          <t>2023-04</t>
        </is>
      </c>
    </row>
    <row r="549">
      <c r="A549" s="16" t="n">
        <v>45105</v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D</t>
        </is>
      </c>
      <c r="G549" t="inlineStr">
        <is>
          <t>Wholesale</t>
        </is>
      </c>
      <c r="H549" t="n">
        <v>0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n">
        <v/>
      </c>
      <c r="M549" t="n">
        <v>0</v>
      </c>
      <c r="N549" t="inlineStr">
        <is>
          <t>REG100547</t>
        </is>
      </c>
      <c r="O549" t="inlineStr">
        <is>
          <t>Cust 8382</t>
        </is>
      </c>
      <c r="P549" t="n">
        <v>21.61</v>
      </c>
      <c r="Q549" s="16" t="n">
        <v>45105</v>
      </c>
      <c r="R549" s="16" t="n">
        <v>45107</v>
      </c>
      <c r="S549" t="inlineStr">
        <is>
          <t>Eric</t>
        </is>
      </c>
      <c r="T549" t="inlineStr">
        <is>
          <t>2023-06</t>
        </is>
      </c>
    </row>
    <row r="550">
      <c r="A550" s="16" t="n">
        <v>45388</v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D</t>
        </is>
      </c>
      <c r="G550" t="inlineStr">
        <is>
          <t>Retail</t>
        </is>
      </c>
      <c r="H550" t="n">
        <v>0.15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n">
        <v/>
      </c>
      <c r="M550" t="n">
        <v>0</v>
      </c>
      <c r="N550" t="inlineStr">
        <is>
          <t>REG100548</t>
        </is>
      </c>
      <c r="O550" t="inlineStr">
        <is>
          <t>Cust 4015</t>
        </is>
      </c>
      <c r="P550" t="n">
        <v>25.27</v>
      </c>
      <c r="Q550" s="16" t="n">
        <v>45388</v>
      </c>
      <c r="R550" s="16" t="n">
        <v>45398</v>
      </c>
      <c r="S550" t="inlineStr">
        <is>
          <t>Cameron</t>
        </is>
      </c>
      <c r="T550" t="inlineStr">
        <is>
          <t>2024-04</t>
        </is>
      </c>
    </row>
    <row r="551">
      <c r="A551" s="16" t="n">
        <v>45705</v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Cust 5172</t>
        </is>
      </c>
      <c r="P551" t="n">
        <v>28.65</v>
      </c>
      <c r="Q551" s="16" t="n">
        <v>45705</v>
      </c>
      <c r="R551" s="16" t="n">
        <v>45707</v>
      </c>
      <c r="S551" t="inlineStr">
        <is>
          <t>Sophie</t>
        </is>
      </c>
      <c r="T551" t="inlineStr">
        <is>
          <t>2025-02</t>
        </is>
      </c>
    </row>
    <row r="552">
      <c r="A552" s="16" t="n">
        <v>44934</v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0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n">
        <v/>
      </c>
      <c r="M552" t="n">
        <v>0</v>
      </c>
      <c r="N552" t="inlineStr">
        <is>
          <t>REG100550</t>
        </is>
      </c>
      <c r="O552" t="inlineStr">
        <is>
          <t>Cust 7584</t>
        </is>
      </c>
      <c r="P552" t="n">
        <v>39.4</v>
      </c>
      <c r="Q552" s="16" t="n">
        <v>44934</v>
      </c>
      <c r="R552" s="16" t="n">
        <v>44937</v>
      </c>
      <c r="S552" t="inlineStr">
        <is>
          <t>Sophie</t>
        </is>
      </c>
      <c r="T552" t="inlineStr">
        <is>
          <t>2023-01</t>
        </is>
      </c>
    </row>
    <row r="553">
      <c r="A553" s="16" t="n">
        <v>45281</v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D</t>
        </is>
      </c>
      <c r="G553" t="inlineStr">
        <is>
          <t>Retail</t>
        </is>
      </c>
      <c r="H553" t="n">
        <v>0.05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Cust 6809</t>
        </is>
      </c>
      <c r="P553" t="n">
        <v>48.33</v>
      </c>
      <c r="Q553" s="16" t="n">
        <v>45281</v>
      </c>
      <c r="R553" s="16" t="n">
        <v>45291</v>
      </c>
      <c r="S553" t="inlineStr">
        <is>
          <t>Sophie</t>
        </is>
      </c>
      <c r="T553" t="inlineStr">
        <is>
          <t>2023-12</t>
        </is>
      </c>
    </row>
    <row r="554">
      <c r="A554" s="16" t="n">
        <v>45486</v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C</t>
        </is>
      </c>
      <c r="G554" t="inlineStr">
        <is>
          <t>Wholesale</t>
        </is>
      </c>
      <c r="H554" t="n">
        <v>0.1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Cust 7540</t>
        </is>
      </c>
      <c r="P554" t="n">
        <v>16.9</v>
      </c>
      <c r="Q554" s="16" t="n">
        <v>45486</v>
      </c>
      <c r="R554" s="16" t="n">
        <v>45488</v>
      </c>
      <c r="S554" t="inlineStr">
        <is>
          <t>Ryan</t>
        </is>
      </c>
      <c r="T554" t="inlineStr">
        <is>
          <t>2024-07</t>
        </is>
      </c>
    </row>
    <row r="555">
      <c r="A555" s="16" t="n">
        <v>45374</v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D</t>
        </is>
      </c>
      <c r="G555" t="inlineStr">
        <is>
          <t>Retail</t>
        </is>
      </c>
      <c r="H555" t="n">
        <v>0.15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Cust 6888</t>
        </is>
      </c>
      <c r="P555" t="n">
        <v>10.77</v>
      </c>
      <c r="Q555" s="16" t="n">
        <v>45374</v>
      </c>
      <c r="R555" s="16" t="n">
        <v>45383</v>
      </c>
      <c r="S555" t="inlineStr">
        <is>
          <t>Wendy</t>
        </is>
      </c>
      <c r="T555" t="inlineStr">
        <is>
          <t>2024-03</t>
        </is>
      </c>
    </row>
    <row r="556">
      <c r="A556" s="16" t="n">
        <v>45370</v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D</t>
        </is>
      </c>
      <c r="G556" t="inlineStr">
        <is>
          <t>Wholesale</t>
        </is>
      </c>
      <c r="H556" t="n">
        <v>0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n">
        <v/>
      </c>
      <c r="M556" t="n">
        <v>0</v>
      </c>
      <c r="N556" t="inlineStr">
        <is>
          <t>REG100554</t>
        </is>
      </c>
      <c r="O556" t="inlineStr">
        <is>
          <t>Cust 3304</t>
        </is>
      </c>
      <c r="P556" t="n">
        <v>13.28</v>
      </c>
      <c r="Q556" s="16" t="n">
        <v>45370</v>
      </c>
      <c r="R556" s="16" t="n">
        <v>45376</v>
      </c>
      <c r="S556" t="inlineStr">
        <is>
          <t>Wendy</t>
        </is>
      </c>
      <c r="T556" t="inlineStr">
        <is>
          <t>2024-03</t>
        </is>
      </c>
    </row>
    <row r="557">
      <c r="A557" s="16" t="n">
        <v>45797</v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B</t>
        </is>
      </c>
      <c r="G557" t="inlineStr">
        <is>
          <t>Wholesale</t>
        </is>
      </c>
      <c r="H557" t="n">
        <v>0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Cust 4196</t>
        </is>
      </c>
      <c r="P557" t="n">
        <v>33.4</v>
      </c>
      <c r="Q557" s="16" t="n">
        <v>45797</v>
      </c>
      <c r="R557" s="16" t="n">
        <v>45806</v>
      </c>
      <c r="S557" t="inlineStr">
        <is>
          <t>Cameron</t>
        </is>
      </c>
      <c r="T557" t="inlineStr">
        <is>
          <t>2025-05</t>
        </is>
      </c>
    </row>
    <row r="558">
      <c r="A558" s="16" t="n">
        <v>45676</v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0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Cust 6596</t>
        </is>
      </c>
      <c r="P558" t="n">
        <v>34.32</v>
      </c>
      <c r="Q558" s="16" t="n">
        <v>45676</v>
      </c>
      <c r="R558" s="16" t="n">
        <v>45683</v>
      </c>
      <c r="S558" t="inlineStr">
        <is>
          <t>Sophie</t>
        </is>
      </c>
      <c r="T558" t="inlineStr">
        <is>
          <t>2025-01</t>
        </is>
      </c>
    </row>
    <row r="559">
      <c r="A559" s="16" t="n">
        <v>45074</v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A</t>
        </is>
      </c>
      <c r="G559" t="inlineStr">
        <is>
          <t>Wholesale</t>
        </is>
      </c>
      <c r="H559" t="n">
        <v>0.1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n">
        <v/>
      </c>
      <c r="M559" t="n">
        <v>0</v>
      </c>
      <c r="N559" t="inlineStr">
        <is>
          <t>REG100557</t>
        </is>
      </c>
      <c r="O559" t="inlineStr">
        <is>
          <t>Cust 5588</t>
        </is>
      </c>
      <c r="P559" t="n">
        <v>8.66</v>
      </c>
      <c r="Q559" s="16" t="n">
        <v>45074</v>
      </c>
      <c r="R559" s="16" t="n">
        <v>45078</v>
      </c>
      <c r="S559" t="inlineStr">
        <is>
          <t>Sophie</t>
        </is>
      </c>
      <c r="T559" t="inlineStr">
        <is>
          <t>2023-05</t>
        </is>
      </c>
    </row>
    <row r="560">
      <c r="A560" s="16" t="n">
        <v>45227</v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A</t>
        </is>
      </c>
      <c r="G560" t="inlineStr">
        <is>
          <t>Wholesale</t>
        </is>
      </c>
      <c r="H560" t="n">
        <v>0.15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Cust 1518</t>
        </is>
      </c>
      <c r="P560" t="n">
        <v>6.04</v>
      </c>
      <c r="Q560" s="16" t="n">
        <v>45227</v>
      </c>
      <c r="R560" s="16" t="n">
        <v>45233</v>
      </c>
      <c r="S560" t="inlineStr">
        <is>
          <t>Eric</t>
        </is>
      </c>
      <c r="T560" t="inlineStr">
        <is>
          <t>2023-10</t>
        </is>
      </c>
    </row>
    <row r="561">
      <c r="A561" s="16" t="n">
        <v>45255</v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B</t>
        </is>
      </c>
      <c r="G561" t="inlineStr">
        <is>
          <t>Retail</t>
        </is>
      </c>
      <c r="H561" t="n">
        <v>0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n">
        <v/>
      </c>
      <c r="M561" t="n">
        <v>0</v>
      </c>
      <c r="N561" t="inlineStr">
        <is>
          <t>REG100559</t>
        </is>
      </c>
      <c r="O561" t="inlineStr">
        <is>
          <t>Cust 2819</t>
        </is>
      </c>
      <c r="P561" t="n">
        <v>37.66</v>
      </c>
      <c r="Q561" s="16" t="n">
        <v>45255</v>
      </c>
      <c r="R561" s="16" t="n">
        <v>45262</v>
      </c>
      <c r="S561" t="inlineStr">
        <is>
          <t>Wendy</t>
        </is>
      </c>
      <c r="T561" t="inlineStr">
        <is>
          <t>2023-11</t>
        </is>
      </c>
    </row>
    <row r="562">
      <c r="A562" s="16" t="n">
        <v>45613</v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B</t>
        </is>
      </c>
      <c r="G562" t="inlineStr">
        <is>
          <t>Wholesale</t>
        </is>
      </c>
      <c r="H562" t="n">
        <v>0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Cust 1947</t>
        </is>
      </c>
      <c r="P562" t="n">
        <v>46.02</v>
      </c>
      <c r="Q562" s="16" t="n">
        <v>45613</v>
      </c>
      <c r="R562" s="16" t="n">
        <v>45620</v>
      </c>
      <c r="S562" t="inlineStr">
        <is>
          <t>Sophie</t>
        </is>
      </c>
      <c r="T562" t="inlineStr">
        <is>
          <t>2024-11</t>
        </is>
      </c>
    </row>
    <row r="563">
      <c r="A563" s="16" t="n">
        <v>45315</v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C</t>
        </is>
      </c>
      <c r="G563" t="inlineStr">
        <is>
          <t>Retail</t>
        </is>
      </c>
      <c r="H563" t="n">
        <v>0.15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Cust 7332</t>
        </is>
      </c>
      <c r="P563" t="n">
        <v>27.1</v>
      </c>
      <c r="Q563" s="16" t="n">
        <v>45315</v>
      </c>
      <c r="R563" s="16" t="n">
        <v>45320</v>
      </c>
      <c r="S563" t="inlineStr">
        <is>
          <t>Cameron</t>
        </is>
      </c>
      <c r="T563" t="inlineStr">
        <is>
          <t>2024-01</t>
        </is>
      </c>
    </row>
    <row r="564">
      <c r="A564" s="16" t="n">
        <v>45096</v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D</t>
        </is>
      </c>
      <c r="G564" t="inlineStr">
        <is>
          <t>Wholesale</t>
        </is>
      </c>
      <c r="H564" t="n">
        <v>0.15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Cust 7314</t>
        </is>
      </c>
      <c r="P564" t="n">
        <v>38.85</v>
      </c>
      <c r="Q564" s="16" t="n">
        <v>45096</v>
      </c>
      <c r="R564" s="16" t="n">
        <v>45106</v>
      </c>
      <c r="S564" t="inlineStr">
        <is>
          <t>Ryan</t>
        </is>
      </c>
      <c r="T564" t="inlineStr">
        <is>
          <t>2023-06</t>
        </is>
      </c>
    </row>
    <row r="565">
      <c r="A565" s="16" t="n">
        <v>45670</v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B</t>
        </is>
      </c>
      <c r="G565" t="inlineStr">
        <is>
          <t>Retail</t>
        </is>
      </c>
      <c r="H565" t="n">
        <v>0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n">
        <v/>
      </c>
      <c r="M565" t="n">
        <v>1</v>
      </c>
      <c r="N565" t="inlineStr">
        <is>
          <t>REG100563</t>
        </is>
      </c>
      <c r="O565" t="inlineStr">
        <is>
          <t>Cust 5296</t>
        </is>
      </c>
      <c r="P565" t="n">
        <v>12.97</v>
      </c>
      <c r="Q565" s="16" t="n">
        <v>45670</v>
      </c>
      <c r="R565" s="16" t="n">
        <v>45675</v>
      </c>
      <c r="S565" t="inlineStr">
        <is>
          <t>Eric</t>
        </is>
      </c>
      <c r="T565" t="inlineStr">
        <is>
          <t>2025-01</t>
        </is>
      </c>
    </row>
    <row r="566">
      <c r="A566" s="16" t="n">
        <v>45315</v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0.1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Cust 2964</t>
        </is>
      </c>
      <c r="P566" t="n">
        <v>35.26</v>
      </c>
      <c r="Q566" s="16" t="n">
        <v>45315</v>
      </c>
      <c r="R566" s="16" t="n">
        <v>45323</v>
      </c>
      <c r="S566" t="inlineStr">
        <is>
          <t>Eric</t>
        </is>
      </c>
      <c r="T566" t="inlineStr">
        <is>
          <t>2024-01</t>
        </is>
      </c>
    </row>
    <row r="567">
      <c r="A567" s="16" t="n">
        <v>45663</v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D</t>
        </is>
      </c>
      <c r="G567" t="inlineStr">
        <is>
          <t>Retail</t>
        </is>
      </c>
      <c r="H567" t="n">
        <v>0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Cust 5381</t>
        </is>
      </c>
      <c r="P567" t="n">
        <v>26.73</v>
      </c>
      <c r="Q567" s="16" t="n">
        <v>45663</v>
      </c>
      <c r="R567" s="16" t="n">
        <v>45671</v>
      </c>
      <c r="S567" t="inlineStr">
        <is>
          <t>Sophie</t>
        </is>
      </c>
      <c r="T567" t="inlineStr">
        <is>
          <t>2025-01</t>
        </is>
      </c>
    </row>
    <row r="568">
      <c r="A568" s="16" t="n">
        <v>45659</v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0.05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Cust 5436</t>
        </is>
      </c>
      <c r="P568" t="n">
        <v>39.92</v>
      </c>
      <c r="Q568" s="16" t="n">
        <v>45659</v>
      </c>
      <c r="R568" s="16" t="n">
        <v>45666</v>
      </c>
      <c r="S568" t="inlineStr">
        <is>
          <t>Cameron</t>
        </is>
      </c>
      <c r="T568" t="inlineStr">
        <is>
          <t>2025-01</t>
        </is>
      </c>
    </row>
    <row r="569">
      <c r="A569" s="16" t="n">
        <v>44979</v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0.1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n">
        <v/>
      </c>
      <c r="M569" t="n">
        <v>0</v>
      </c>
      <c r="N569" t="inlineStr">
        <is>
          <t>REG100567</t>
        </is>
      </c>
      <c r="O569" t="inlineStr">
        <is>
          <t>Cust 1494</t>
        </is>
      </c>
      <c r="P569" t="n">
        <v>32.12</v>
      </c>
      <c r="Q569" s="16" t="n">
        <v>44979</v>
      </c>
      <c r="R569" s="16" t="n">
        <v>44988</v>
      </c>
      <c r="S569" t="inlineStr">
        <is>
          <t>Ryan</t>
        </is>
      </c>
      <c r="T569" t="inlineStr">
        <is>
          <t>2023-02</t>
        </is>
      </c>
    </row>
    <row r="570">
      <c r="A570" s="16" t="n">
        <v>45694</v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0.1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Cust 4380</t>
        </is>
      </c>
      <c r="P570" t="n">
        <v>26.31</v>
      </c>
      <c r="Q570" s="16" t="n">
        <v>45694</v>
      </c>
      <c r="R570" s="16" t="n">
        <v>45704</v>
      </c>
      <c r="S570" t="inlineStr">
        <is>
          <t>Eric</t>
        </is>
      </c>
      <c r="T570" t="inlineStr">
        <is>
          <t>2025-02</t>
        </is>
      </c>
    </row>
    <row r="571">
      <c r="A571" s="16" t="n">
        <v>45561</v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0.05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Cust 7054</t>
        </is>
      </c>
      <c r="P571" t="n">
        <v>11.91</v>
      </c>
      <c r="Q571" s="16" t="n">
        <v>45561</v>
      </c>
      <c r="R571" s="16" t="n">
        <v>45565</v>
      </c>
      <c r="S571" t="inlineStr">
        <is>
          <t>Eric</t>
        </is>
      </c>
      <c r="T571" t="inlineStr">
        <is>
          <t>2024-09</t>
        </is>
      </c>
    </row>
    <row r="572">
      <c r="A572" s="16" t="n">
        <v>45744</v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D</t>
        </is>
      </c>
      <c r="G572" t="inlineStr">
        <is>
          <t>Wholesale</t>
        </is>
      </c>
      <c r="H572" t="n">
        <v>0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Cust 1375</t>
        </is>
      </c>
      <c r="P572" t="n">
        <v>31.76</v>
      </c>
      <c r="Q572" s="16" t="n">
        <v>45744</v>
      </c>
      <c r="R572" s="16" t="n">
        <v>45748</v>
      </c>
      <c r="S572" t="inlineStr">
        <is>
          <t>Ryan</t>
        </is>
      </c>
      <c r="T572" t="inlineStr">
        <is>
          <t>2025-03</t>
        </is>
      </c>
    </row>
    <row r="573">
      <c r="A573" s="16" t="n">
        <v>45108</v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B</t>
        </is>
      </c>
      <c r="G573" t="inlineStr">
        <is>
          <t>Retail</t>
        </is>
      </c>
      <c r="H573" t="n">
        <v>0.05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Cust 5698</t>
        </is>
      </c>
      <c r="P573" t="n">
        <v>8.75</v>
      </c>
      <c r="Q573" s="16" t="n">
        <v>45108</v>
      </c>
      <c r="R573" s="16" t="n">
        <v>45116</v>
      </c>
      <c r="S573" t="inlineStr">
        <is>
          <t>Eric</t>
        </is>
      </c>
      <c r="T573" t="inlineStr">
        <is>
          <t>2023-07</t>
        </is>
      </c>
    </row>
    <row r="574">
      <c r="A574" s="16" t="n">
        <v>45045</v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D</t>
        </is>
      </c>
      <c r="G574" t="inlineStr">
        <is>
          <t>Wholesale</t>
        </is>
      </c>
      <c r="H574" t="n">
        <v>0.1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Cust 3259</t>
        </is>
      </c>
      <c r="P574" t="n">
        <v>8.44</v>
      </c>
      <c r="Q574" s="16" t="n">
        <v>45045</v>
      </c>
      <c r="R574" s="16" t="n">
        <v>45050</v>
      </c>
      <c r="S574" t="inlineStr">
        <is>
          <t>Wendy</t>
        </is>
      </c>
      <c r="T574" t="inlineStr">
        <is>
          <t>2023-04</t>
        </is>
      </c>
    </row>
    <row r="575">
      <c r="A575" s="16" t="n">
        <v>45046</v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0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n">
        <v/>
      </c>
      <c r="M575" t="n">
        <v>0</v>
      </c>
      <c r="N575" t="inlineStr">
        <is>
          <t>REG100573</t>
        </is>
      </c>
      <c r="O575" t="inlineStr">
        <is>
          <t>Cust 9295</t>
        </is>
      </c>
      <c r="P575" t="n">
        <v>17.12</v>
      </c>
      <c r="Q575" s="16" t="n">
        <v>45046</v>
      </c>
      <c r="R575" s="16" t="n">
        <v>45052</v>
      </c>
      <c r="S575" t="inlineStr">
        <is>
          <t>Eric</t>
        </is>
      </c>
      <c r="T575" t="inlineStr">
        <is>
          <t>2023-04</t>
        </is>
      </c>
    </row>
    <row r="576">
      <c r="A576" s="16" t="n">
        <v>45365</v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A</t>
        </is>
      </c>
      <c r="G576" t="inlineStr">
        <is>
          <t>Wholesale</t>
        </is>
      </c>
      <c r="H576" t="n">
        <v>0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Cust 7035</t>
        </is>
      </c>
      <c r="P576" t="n">
        <v>38.97</v>
      </c>
      <c r="Q576" s="16" t="n">
        <v>45365</v>
      </c>
      <c r="R576" s="16" t="n">
        <v>45371</v>
      </c>
      <c r="S576" t="inlineStr">
        <is>
          <t>Wendy</t>
        </is>
      </c>
      <c r="T576" t="inlineStr">
        <is>
          <t>2024-03</t>
        </is>
      </c>
    </row>
    <row r="577">
      <c r="A577" s="16" t="n">
        <v>45104</v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B</t>
        </is>
      </c>
      <c r="G577" t="inlineStr">
        <is>
          <t>Wholesale</t>
        </is>
      </c>
      <c r="H577" t="n">
        <v>0.15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Cust 9049</t>
        </is>
      </c>
      <c r="P577" t="n">
        <v>13.97</v>
      </c>
      <c r="Q577" s="16" t="n">
        <v>45104</v>
      </c>
      <c r="R577" s="16" t="n">
        <v>45109</v>
      </c>
      <c r="S577" t="inlineStr">
        <is>
          <t>Cameron</t>
        </is>
      </c>
      <c r="T577" t="inlineStr">
        <is>
          <t>2023-06</t>
        </is>
      </c>
    </row>
    <row r="578">
      <c r="A578" s="16" t="n">
        <v>45392</v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A</t>
        </is>
      </c>
      <c r="G578" t="inlineStr">
        <is>
          <t>Wholesale</t>
        </is>
      </c>
      <c r="H578" t="n">
        <v>0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n">
        <v/>
      </c>
      <c r="M578" t="n">
        <v>0</v>
      </c>
      <c r="N578" t="inlineStr">
        <is>
          <t>REG100576</t>
        </is>
      </c>
      <c r="O578" t="inlineStr">
        <is>
          <t>Cust 6173</t>
        </is>
      </c>
      <c r="P578" t="n">
        <v>22.33</v>
      </c>
      <c r="Q578" s="16" t="n">
        <v>45392</v>
      </c>
      <c r="R578" s="16" t="n">
        <v>45394</v>
      </c>
      <c r="S578" t="inlineStr">
        <is>
          <t>Ryan</t>
        </is>
      </c>
      <c r="T578" t="inlineStr">
        <is>
          <t>2024-04</t>
        </is>
      </c>
    </row>
    <row r="579">
      <c r="A579" s="16" t="n">
        <v>45168</v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A</t>
        </is>
      </c>
      <c r="G579" t="inlineStr">
        <is>
          <t>Wholesale</t>
        </is>
      </c>
      <c r="H579" t="n">
        <v>0.15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Cust 3447</t>
        </is>
      </c>
      <c r="P579" t="n">
        <v>16.84</v>
      </c>
      <c r="Q579" s="16" t="n">
        <v>45168</v>
      </c>
      <c r="R579" s="16" t="n">
        <v>45170</v>
      </c>
      <c r="S579" t="inlineStr">
        <is>
          <t>Cameron</t>
        </is>
      </c>
      <c r="T579" t="inlineStr">
        <is>
          <t>2023-08</t>
        </is>
      </c>
    </row>
    <row r="580">
      <c r="A580" s="16" t="n">
        <v>45222</v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0.05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n">
        <v/>
      </c>
      <c r="M580" t="n">
        <v>0</v>
      </c>
      <c r="N580" t="inlineStr">
        <is>
          <t>REG100578</t>
        </is>
      </c>
      <c r="O580" t="inlineStr">
        <is>
          <t>Cust 2218</t>
        </is>
      </c>
      <c r="P580" t="n">
        <v>27.68</v>
      </c>
      <c r="Q580" s="16" t="n">
        <v>45222</v>
      </c>
      <c r="R580" s="16" t="n">
        <v>45229</v>
      </c>
      <c r="S580" t="inlineStr">
        <is>
          <t>Wendy</t>
        </is>
      </c>
      <c r="T580" t="inlineStr">
        <is>
          <t>2023-10</t>
        </is>
      </c>
    </row>
    <row r="581">
      <c r="A581" s="16" t="n">
        <v>45008</v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A</t>
        </is>
      </c>
      <c r="G581" t="inlineStr">
        <is>
          <t>Wholesale</t>
        </is>
      </c>
      <c r="H581" t="n">
        <v>0.1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n">
        <v/>
      </c>
      <c r="M581" t="n">
        <v>0</v>
      </c>
      <c r="N581" t="inlineStr">
        <is>
          <t>REG100579</t>
        </is>
      </c>
      <c r="O581" t="inlineStr">
        <is>
          <t>Cust 8882</t>
        </is>
      </c>
      <c r="P581" t="n">
        <v>42.04</v>
      </c>
      <c r="Q581" s="16" t="n">
        <v>45008</v>
      </c>
      <c r="R581" s="16" t="n">
        <v>45015</v>
      </c>
      <c r="S581" t="inlineStr">
        <is>
          <t>Ryan</t>
        </is>
      </c>
      <c r="T581" t="inlineStr">
        <is>
          <t>2023-03</t>
        </is>
      </c>
    </row>
    <row r="582">
      <c r="A582" s="16" t="n">
        <v>45556</v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B</t>
        </is>
      </c>
      <c r="G582" t="inlineStr">
        <is>
          <t>Wholesale</t>
        </is>
      </c>
      <c r="H582" t="n">
        <v>0.15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Cust 6709</t>
        </is>
      </c>
      <c r="P582" t="n">
        <v>41.94</v>
      </c>
      <c r="Q582" s="16" t="n">
        <v>45556</v>
      </c>
      <c r="R582" s="16" t="n">
        <v>45565</v>
      </c>
      <c r="S582" t="inlineStr">
        <is>
          <t>Cameron</t>
        </is>
      </c>
      <c r="T582" t="inlineStr">
        <is>
          <t>2024-09</t>
        </is>
      </c>
    </row>
    <row r="583">
      <c r="A583" s="16" t="n">
        <v>45652</v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0.1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Cust 8727</t>
        </is>
      </c>
      <c r="P583" t="n">
        <v>13.61</v>
      </c>
      <c r="Q583" s="16" t="n">
        <v>45652</v>
      </c>
      <c r="R583" s="16" t="n">
        <v>45660</v>
      </c>
      <c r="S583" t="inlineStr">
        <is>
          <t>Wendy</t>
        </is>
      </c>
      <c r="T583" t="inlineStr">
        <is>
          <t>2024-12</t>
        </is>
      </c>
    </row>
    <row r="584">
      <c r="A584" s="16" t="n">
        <v>44983</v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A</t>
        </is>
      </c>
      <c r="G584" t="inlineStr">
        <is>
          <t>Wholesale</t>
        </is>
      </c>
      <c r="H584" t="n">
        <v>0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n">
        <v/>
      </c>
      <c r="M584" t="n">
        <v>0</v>
      </c>
      <c r="N584" t="inlineStr">
        <is>
          <t>REG100582</t>
        </is>
      </c>
      <c r="O584" t="inlineStr">
        <is>
          <t>Cust 8359</t>
        </is>
      </c>
      <c r="P584" t="n">
        <v>20.02</v>
      </c>
      <c r="Q584" s="16" t="n">
        <v>44983</v>
      </c>
      <c r="R584" s="16" t="n">
        <v>44988</v>
      </c>
      <c r="S584" t="inlineStr">
        <is>
          <t>Eric</t>
        </is>
      </c>
      <c r="T584" t="inlineStr">
        <is>
          <t>2023-02</t>
        </is>
      </c>
    </row>
    <row r="585">
      <c r="A585" s="16" t="n">
        <v>45636</v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B</t>
        </is>
      </c>
      <c r="G585" t="inlineStr">
        <is>
          <t>Wholesale</t>
        </is>
      </c>
      <c r="H585" t="n">
        <v>0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n">
        <v/>
      </c>
      <c r="M585" t="n">
        <v>0</v>
      </c>
      <c r="N585" t="inlineStr">
        <is>
          <t>REG100583</t>
        </is>
      </c>
      <c r="O585" t="inlineStr">
        <is>
          <t>Cust 1514</t>
        </is>
      </c>
      <c r="P585" t="n">
        <v>46.35</v>
      </c>
      <c r="Q585" s="16" t="n">
        <v>45636</v>
      </c>
      <c r="R585" s="16" t="n">
        <v>45640</v>
      </c>
      <c r="S585" t="inlineStr">
        <is>
          <t>Ryan</t>
        </is>
      </c>
      <c r="T585" t="inlineStr">
        <is>
          <t>2024-12</t>
        </is>
      </c>
    </row>
    <row r="586">
      <c r="A586" s="16" t="n">
        <v>45658</v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D</t>
        </is>
      </c>
      <c r="G586" t="inlineStr">
        <is>
          <t>Retail</t>
        </is>
      </c>
      <c r="H586" t="n">
        <v>0.1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n">
        <v/>
      </c>
      <c r="M586" t="n">
        <v>1</v>
      </c>
      <c r="N586" t="inlineStr">
        <is>
          <t>REG100584</t>
        </is>
      </c>
      <c r="O586" t="inlineStr">
        <is>
          <t>Cust 2774</t>
        </is>
      </c>
      <c r="P586" t="n">
        <v>46.59</v>
      </c>
      <c r="Q586" s="16" t="n">
        <v>45658</v>
      </c>
      <c r="R586" s="16" t="n">
        <v>45660</v>
      </c>
      <c r="S586" t="inlineStr">
        <is>
          <t>Eric</t>
        </is>
      </c>
      <c r="T586" t="inlineStr">
        <is>
          <t>2025-01</t>
        </is>
      </c>
    </row>
    <row r="587">
      <c r="A587" s="16" t="n">
        <v>45730</v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C</t>
        </is>
      </c>
      <c r="G587" t="inlineStr">
        <is>
          <t>Wholesale</t>
        </is>
      </c>
      <c r="H587" t="n">
        <v>0.15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Cust 4270</t>
        </is>
      </c>
      <c r="P587" t="n">
        <v>32.86</v>
      </c>
      <c r="Q587" s="16" t="n">
        <v>45730</v>
      </c>
      <c r="R587" s="16" t="n">
        <v>45737</v>
      </c>
      <c r="S587" t="inlineStr">
        <is>
          <t>Eric</t>
        </is>
      </c>
      <c r="T587" t="inlineStr">
        <is>
          <t>2025-03</t>
        </is>
      </c>
    </row>
    <row r="588">
      <c r="A588" s="16" t="n">
        <v>45307</v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B</t>
        </is>
      </c>
      <c r="G588" t="inlineStr">
        <is>
          <t>Wholesale</t>
        </is>
      </c>
      <c r="H588" t="n">
        <v>0.1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n">
        <v/>
      </c>
      <c r="M588" t="n">
        <v>0</v>
      </c>
      <c r="N588" t="inlineStr">
        <is>
          <t>REG100586</t>
        </is>
      </c>
      <c r="O588" t="inlineStr">
        <is>
          <t>Cust 3123</t>
        </is>
      </c>
      <c r="P588" t="n">
        <v>23.84</v>
      </c>
      <c r="Q588" s="16" t="n">
        <v>45307</v>
      </c>
      <c r="R588" s="16" t="n">
        <v>45311</v>
      </c>
      <c r="S588" t="inlineStr">
        <is>
          <t>Sophie</t>
        </is>
      </c>
      <c r="T588" t="inlineStr">
        <is>
          <t>2024-01</t>
        </is>
      </c>
    </row>
    <row r="589">
      <c r="A589" s="16" t="n">
        <v>45401</v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D</t>
        </is>
      </c>
      <c r="G589" t="inlineStr">
        <is>
          <t>Wholesale</t>
        </is>
      </c>
      <c r="H589" t="n">
        <v>0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Cust 7414</t>
        </is>
      </c>
      <c r="P589" t="n">
        <v>11.13</v>
      </c>
      <c r="Q589" s="16" t="n">
        <v>45401</v>
      </c>
      <c r="R589" s="16" t="n">
        <v>45407</v>
      </c>
      <c r="S589" t="inlineStr">
        <is>
          <t>Wendy</t>
        </is>
      </c>
      <c r="T589" t="inlineStr">
        <is>
          <t>2024-04</t>
        </is>
      </c>
    </row>
    <row r="590">
      <c r="A590" s="16" t="n">
        <v>45268</v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B</t>
        </is>
      </c>
      <c r="G590" t="inlineStr">
        <is>
          <t>Wholesale</t>
        </is>
      </c>
      <c r="H590" t="n">
        <v>0.05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Cust 5051</t>
        </is>
      </c>
      <c r="P590" t="n">
        <v>49.12</v>
      </c>
      <c r="Q590" s="16" t="n">
        <v>45268</v>
      </c>
      <c r="R590" s="16" t="n">
        <v>45271</v>
      </c>
      <c r="S590" t="inlineStr">
        <is>
          <t>Ryan</t>
        </is>
      </c>
      <c r="T590" t="inlineStr">
        <is>
          <t>2023-12</t>
        </is>
      </c>
    </row>
    <row r="591">
      <c r="A591" s="16" t="n">
        <v>45000</v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0.05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Cust 5975</t>
        </is>
      </c>
      <c r="P591" t="n">
        <v>5.32</v>
      </c>
      <c r="Q591" s="16" t="n">
        <v>45000</v>
      </c>
      <c r="R591" s="16" t="n">
        <v>45004</v>
      </c>
      <c r="S591" t="inlineStr">
        <is>
          <t>Ryan</t>
        </is>
      </c>
      <c r="T591" t="inlineStr">
        <is>
          <t>2023-03</t>
        </is>
      </c>
    </row>
    <row r="592">
      <c r="A592" s="16" t="n">
        <v>45695</v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0.15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Cust 6948</t>
        </is>
      </c>
      <c r="P592" t="n">
        <v>22</v>
      </c>
      <c r="Q592" s="16" t="n">
        <v>45695</v>
      </c>
      <c r="R592" s="16" t="n">
        <v>45701</v>
      </c>
      <c r="S592" t="inlineStr">
        <is>
          <t>Sophie</t>
        </is>
      </c>
      <c r="T592" t="inlineStr">
        <is>
          <t>2025-02</t>
        </is>
      </c>
    </row>
    <row r="593">
      <c r="A593" s="16" t="n">
        <v>45835</v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D</t>
        </is>
      </c>
      <c r="G593" t="inlineStr">
        <is>
          <t>Retail</t>
        </is>
      </c>
      <c r="H593" t="n">
        <v>0.05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Cust 8253</t>
        </is>
      </c>
      <c r="P593" t="n">
        <v>6.16</v>
      </c>
      <c r="Q593" s="16" t="n">
        <v>45835</v>
      </c>
      <c r="R593" s="16" t="n">
        <v>45840</v>
      </c>
      <c r="S593" t="inlineStr">
        <is>
          <t>Ryan</t>
        </is>
      </c>
      <c r="T593" t="inlineStr">
        <is>
          <t>2025-06</t>
        </is>
      </c>
    </row>
    <row r="594">
      <c r="A594" s="16" t="n">
        <v>45643</v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B</t>
        </is>
      </c>
      <c r="G594" t="inlineStr">
        <is>
          <t>Retail</t>
        </is>
      </c>
      <c r="H594" t="n">
        <v>0.05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Cust 7238</t>
        </is>
      </c>
      <c r="P594" t="n">
        <v>41.73</v>
      </c>
      <c r="Q594" s="16" t="n">
        <v>45643</v>
      </c>
      <c r="R594" s="16" t="n">
        <v>45646</v>
      </c>
      <c r="S594" t="inlineStr">
        <is>
          <t>Cameron</t>
        </is>
      </c>
      <c r="T594" t="inlineStr">
        <is>
          <t>2024-12</t>
        </is>
      </c>
    </row>
    <row r="595">
      <c r="A595" s="16" t="n">
        <v>45415</v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B</t>
        </is>
      </c>
      <c r="G595" t="inlineStr">
        <is>
          <t>Wholesale</t>
        </is>
      </c>
      <c r="H595" t="n">
        <v>0.05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n">
        <v/>
      </c>
      <c r="M595" t="n">
        <v>0</v>
      </c>
      <c r="N595" t="inlineStr">
        <is>
          <t>REG100593</t>
        </is>
      </c>
      <c r="O595" t="inlineStr">
        <is>
          <t>Cust 2219</t>
        </is>
      </c>
      <c r="P595" t="n">
        <v>48.49</v>
      </c>
      <c r="Q595" s="16" t="n">
        <v>45415</v>
      </c>
      <c r="R595" s="16" t="n">
        <v>45423</v>
      </c>
      <c r="S595" t="inlineStr">
        <is>
          <t>Sophie</t>
        </is>
      </c>
      <c r="T595" t="inlineStr">
        <is>
          <t>2024-05</t>
        </is>
      </c>
    </row>
    <row r="596">
      <c r="A596" s="16" t="n">
        <v>45286</v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B</t>
        </is>
      </c>
      <c r="G596" t="inlineStr">
        <is>
          <t>Wholesale</t>
        </is>
      </c>
      <c r="H596" t="n">
        <v>0.1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n">
        <v/>
      </c>
      <c r="M596" t="n">
        <v>1</v>
      </c>
      <c r="N596" t="inlineStr">
        <is>
          <t>REG100594</t>
        </is>
      </c>
      <c r="O596" t="inlineStr">
        <is>
          <t>Cust 4297</t>
        </is>
      </c>
      <c r="P596" t="n">
        <v>15.98</v>
      </c>
      <c r="Q596" s="16" t="n">
        <v>45286</v>
      </c>
      <c r="R596" s="16" t="n">
        <v>45292</v>
      </c>
      <c r="S596" t="inlineStr">
        <is>
          <t>Sophie</t>
        </is>
      </c>
      <c r="T596" t="inlineStr">
        <is>
          <t>2023-12</t>
        </is>
      </c>
    </row>
    <row r="597">
      <c r="A597" s="16" t="n">
        <v>45425</v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B</t>
        </is>
      </c>
      <c r="G597" t="inlineStr">
        <is>
          <t>Wholesale</t>
        </is>
      </c>
      <c r="H597" t="n">
        <v>0.05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n">
        <v/>
      </c>
      <c r="M597" t="n">
        <v>0</v>
      </c>
      <c r="N597" t="inlineStr">
        <is>
          <t>REG100595</t>
        </is>
      </c>
      <c r="O597" t="inlineStr">
        <is>
          <t>Cust 6665</t>
        </is>
      </c>
      <c r="P597" t="n">
        <v>43.84</v>
      </c>
      <c r="Q597" s="16" t="n">
        <v>45425</v>
      </c>
      <c r="R597" s="16" t="n">
        <v>45431</v>
      </c>
      <c r="S597" t="inlineStr">
        <is>
          <t>Cameron</t>
        </is>
      </c>
      <c r="T597" t="inlineStr">
        <is>
          <t>2024-05</t>
        </is>
      </c>
    </row>
    <row r="598">
      <c r="A598" s="16" t="n">
        <v>45206</v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C</t>
        </is>
      </c>
      <c r="G598" t="inlineStr">
        <is>
          <t>Retail</t>
        </is>
      </c>
      <c r="H598" t="n">
        <v>0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n">
        <v/>
      </c>
      <c r="M598" t="n">
        <v>0</v>
      </c>
      <c r="N598" t="inlineStr">
        <is>
          <t>REG100596</t>
        </is>
      </c>
      <c r="O598" t="inlineStr">
        <is>
          <t>Cust 4252</t>
        </is>
      </c>
      <c r="P598" t="n">
        <v>40.38</v>
      </c>
      <c r="Q598" s="16" t="n">
        <v>45206</v>
      </c>
      <c r="R598" s="16" t="n">
        <v>45215</v>
      </c>
      <c r="S598" t="inlineStr">
        <is>
          <t>Sophie</t>
        </is>
      </c>
      <c r="T598" t="inlineStr">
        <is>
          <t>2023-10</t>
        </is>
      </c>
    </row>
    <row r="599">
      <c r="A599" s="16" t="n">
        <v>45118</v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C</t>
        </is>
      </c>
      <c r="G599" t="inlineStr">
        <is>
          <t>Wholesale</t>
        </is>
      </c>
      <c r="H599" t="n">
        <v>0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Cust 6104</t>
        </is>
      </c>
      <c r="P599" t="n">
        <v>48.8</v>
      </c>
      <c r="Q599" s="16" t="n">
        <v>45118</v>
      </c>
      <c r="R599" s="16" t="n">
        <v>45120</v>
      </c>
      <c r="S599" t="inlineStr">
        <is>
          <t>Wendy</t>
        </is>
      </c>
      <c r="T599" t="inlineStr">
        <is>
          <t>2023-07</t>
        </is>
      </c>
    </row>
    <row r="600">
      <c r="A600" s="16" t="n">
        <v>45688</v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C</t>
        </is>
      </c>
      <c r="G600" t="inlineStr">
        <is>
          <t>Retail</t>
        </is>
      </c>
      <c r="H600" t="n">
        <v>0.05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Cust 6407</t>
        </is>
      </c>
      <c r="P600" t="n">
        <v>22.28</v>
      </c>
      <c r="Q600" s="16" t="n">
        <v>45688</v>
      </c>
      <c r="R600" s="16" t="n">
        <v>45694</v>
      </c>
      <c r="S600" t="inlineStr">
        <is>
          <t>Sophie</t>
        </is>
      </c>
      <c r="T600" t="inlineStr">
        <is>
          <t>2025-01</t>
        </is>
      </c>
    </row>
    <row r="601">
      <c r="A601" s="16" t="n">
        <v>44961</v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A</t>
        </is>
      </c>
      <c r="G601" t="inlineStr">
        <is>
          <t>Wholesale</t>
        </is>
      </c>
      <c r="H601" t="n">
        <v>0.05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Cust 3573</t>
        </is>
      </c>
      <c r="P601" t="n">
        <v>44.35</v>
      </c>
      <c r="Q601" s="16" t="n">
        <v>44961</v>
      </c>
      <c r="R601" s="16" t="n">
        <v>44964</v>
      </c>
      <c r="S601" t="inlineStr">
        <is>
          <t>Sophie</t>
        </is>
      </c>
      <c r="T601" t="inlineStr">
        <is>
          <t>2023-02</t>
        </is>
      </c>
    </row>
    <row r="602">
      <c r="A602" s="16" t="n">
        <v>45171</v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B</t>
        </is>
      </c>
      <c r="G602" t="inlineStr">
        <is>
          <t>Retail</t>
        </is>
      </c>
      <c r="H602" t="n">
        <v>0.1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Cust 5280</t>
        </is>
      </c>
      <c r="P602" t="n">
        <v>47.24</v>
      </c>
      <c r="Q602" s="16" t="n">
        <v>45171</v>
      </c>
      <c r="R602" s="16" t="n">
        <v>45181</v>
      </c>
      <c r="S602" t="inlineStr">
        <is>
          <t>Sophie</t>
        </is>
      </c>
      <c r="T602" t="inlineStr">
        <is>
          <t>2023-09</t>
        </is>
      </c>
    </row>
    <row r="603">
      <c r="A603" s="16" t="n">
        <v>45639</v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D</t>
        </is>
      </c>
      <c r="G603" t="inlineStr">
        <is>
          <t>Wholesale</t>
        </is>
      </c>
      <c r="H603" t="n">
        <v>0.15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Cust 2365</t>
        </is>
      </c>
      <c r="P603" t="n">
        <v>11.17</v>
      </c>
      <c r="Q603" s="16" t="n">
        <v>45639</v>
      </c>
      <c r="R603" s="16" t="n">
        <v>45641</v>
      </c>
      <c r="S603" t="inlineStr">
        <is>
          <t>Cameron</t>
        </is>
      </c>
      <c r="T603" t="inlineStr">
        <is>
          <t>2024-12</t>
        </is>
      </c>
    </row>
    <row r="604">
      <c r="A604" s="16" t="n">
        <v>45212</v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A</t>
        </is>
      </c>
      <c r="G604" t="inlineStr">
        <is>
          <t>Wholesale</t>
        </is>
      </c>
      <c r="H604" t="n">
        <v>0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n">
        <v/>
      </c>
      <c r="M604" t="n">
        <v>0</v>
      </c>
      <c r="N604" t="inlineStr">
        <is>
          <t>REG100602</t>
        </is>
      </c>
      <c r="O604" t="inlineStr">
        <is>
          <t>Cust 7130</t>
        </is>
      </c>
      <c r="P604" t="n">
        <v>31.61</v>
      </c>
      <c r="Q604" s="16" t="n">
        <v>45212</v>
      </c>
      <c r="R604" s="16" t="n">
        <v>45221</v>
      </c>
      <c r="S604" t="inlineStr">
        <is>
          <t>Cameron</t>
        </is>
      </c>
      <c r="T604" t="inlineStr">
        <is>
          <t>2023-10</t>
        </is>
      </c>
    </row>
    <row r="605">
      <c r="A605" s="16" t="n">
        <v>45568</v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A</t>
        </is>
      </c>
      <c r="G605" t="inlineStr">
        <is>
          <t>Retail</t>
        </is>
      </c>
      <c r="H605" t="n">
        <v>0.1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Cust 6539</t>
        </is>
      </c>
      <c r="P605" t="n">
        <v>48.38</v>
      </c>
      <c r="Q605" s="16" t="n">
        <v>45568</v>
      </c>
      <c r="R605" s="16" t="n">
        <v>45572</v>
      </c>
      <c r="S605" t="inlineStr">
        <is>
          <t>Sophie</t>
        </is>
      </c>
      <c r="T605" t="inlineStr">
        <is>
          <t>2024-10</t>
        </is>
      </c>
    </row>
    <row r="606">
      <c r="A606" s="16" t="n">
        <v>45410</v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B</t>
        </is>
      </c>
      <c r="G606" t="inlineStr">
        <is>
          <t>Retail</t>
        </is>
      </c>
      <c r="H606" t="n">
        <v>0.1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Cust 1656</t>
        </is>
      </c>
      <c r="P606" t="n">
        <v>8.390000000000001</v>
      </c>
      <c r="Q606" s="16" t="n">
        <v>45410</v>
      </c>
      <c r="R606" s="16" t="n">
        <v>45416</v>
      </c>
      <c r="S606" t="inlineStr">
        <is>
          <t>Cameron</t>
        </is>
      </c>
      <c r="T606" t="inlineStr">
        <is>
          <t>2024-04</t>
        </is>
      </c>
    </row>
    <row r="607">
      <c r="A607" s="16" t="n">
        <v>45329</v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A</t>
        </is>
      </c>
      <c r="G607" t="inlineStr">
        <is>
          <t>Retail</t>
        </is>
      </c>
      <c r="H607" t="n">
        <v>0.15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Cust 1932</t>
        </is>
      </c>
      <c r="P607" t="n">
        <v>15.97</v>
      </c>
      <c r="Q607" s="16" t="n">
        <v>45329</v>
      </c>
      <c r="R607" s="16" t="n">
        <v>45336</v>
      </c>
      <c r="S607" t="inlineStr">
        <is>
          <t>Cameron</t>
        </is>
      </c>
      <c r="T607" t="inlineStr">
        <is>
          <t>2024-02</t>
        </is>
      </c>
    </row>
    <row r="608">
      <c r="A608" s="16" t="n">
        <v>44965</v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C</t>
        </is>
      </c>
      <c r="G608" t="inlineStr">
        <is>
          <t>Retail</t>
        </is>
      </c>
      <c r="H608" t="n">
        <v>0.15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Cust 7367</t>
        </is>
      </c>
      <c r="P608" t="n">
        <v>18.17</v>
      </c>
      <c r="Q608" s="16" t="n">
        <v>44965</v>
      </c>
      <c r="R608" s="16" t="n">
        <v>44968</v>
      </c>
      <c r="S608" t="inlineStr">
        <is>
          <t>Sophie</t>
        </is>
      </c>
      <c r="T608" t="inlineStr">
        <is>
          <t>2023-02</t>
        </is>
      </c>
    </row>
    <row r="609">
      <c r="A609" s="16" t="n">
        <v>45094</v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C</t>
        </is>
      </c>
      <c r="G609" t="inlineStr">
        <is>
          <t>Retail</t>
        </is>
      </c>
      <c r="H609" t="n">
        <v>0.15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Cust 1116</t>
        </is>
      </c>
      <c r="P609" t="n">
        <v>35.58</v>
      </c>
      <c r="Q609" s="16" t="n">
        <v>45094</v>
      </c>
      <c r="R609" s="16" t="n">
        <v>45096</v>
      </c>
      <c r="S609" t="inlineStr">
        <is>
          <t>Sophie</t>
        </is>
      </c>
      <c r="T609" t="inlineStr">
        <is>
          <t>2023-06</t>
        </is>
      </c>
    </row>
    <row r="610">
      <c r="A610" s="16" t="n">
        <v>45502</v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0.1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Cust 4464</t>
        </is>
      </c>
      <c r="P610" t="n">
        <v>44.61</v>
      </c>
      <c r="Q610" s="16" t="n">
        <v>45502</v>
      </c>
      <c r="R610" s="16" t="n">
        <v>45505</v>
      </c>
      <c r="S610" t="inlineStr">
        <is>
          <t>Wendy</t>
        </is>
      </c>
      <c r="T610" t="inlineStr">
        <is>
          <t>2024-07</t>
        </is>
      </c>
    </row>
    <row r="611">
      <c r="A611" s="16" t="n">
        <v>45320</v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D</t>
        </is>
      </c>
      <c r="G611" t="inlineStr">
        <is>
          <t>Wholesale</t>
        </is>
      </c>
      <c r="H611" t="n">
        <v>0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Cust 2543</t>
        </is>
      </c>
      <c r="P611" t="n">
        <v>40.75</v>
      </c>
      <c r="Q611" s="16" t="n">
        <v>45320</v>
      </c>
      <c r="R611" s="16" t="n">
        <v>45323</v>
      </c>
      <c r="S611" t="inlineStr">
        <is>
          <t>Wendy</t>
        </is>
      </c>
      <c r="T611" t="inlineStr">
        <is>
          <t>2024-01</t>
        </is>
      </c>
    </row>
    <row r="612">
      <c r="A612" s="16" t="n">
        <v>45309</v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B</t>
        </is>
      </c>
      <c r="G612" t="inlineStr">
        <is>
          <t>Retail</t>
        </is>
      </c>
      <c r="H612" t="n">
        <v>0.1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Cust 7948</t>
        </is>
      </c>
      <c r="P612" t="n">
        <v>8.710000000000001</v>
      </c>
      <c r="Q612" s="16" t="n">
        <v>45309</v>
      </c>
      <c r="R612" s="16" t="n">
        <v>45314</v>
      </c>
      <c r="S612" t="inlineStr">
        <is>
          <t>Eric</t>
        </is>
      </c>
      <c r="T612" t="inlineStr">
        <is>
          <t>2024-01</t>
        </is>
      </c>
    </row>
    <row r="613">
      <c r="A613" s="16" t="n">
        <v>45516</v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C</t>
        </is>
      </c>
      <c r="G613" t="inlineStr">
        <is>
          <t>Retail</t>
        </is>
      </c>
      <c r="H613" t="n">
        <v>0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n">
        <v/>
      </c>
      <c r="M613" t="n">
        <v>0</v>
      </c>
      <c r="N613" t="inlineStr">
        <is>
          <t>REG100611</t>
        </is>
      </c>
      <c r="O613" t="inlineStr">
        <is>
          <t>Cust 3199</t>
        </is>
      </c>
      <c r="P613" t="n">
        <v>24.25</v>
      </c>
      <c r="Q613" s="16" t="n">
        <v>45516</v>
      </c>
      <c r="R613" s="16" t="n">
        <v>45526</v>
      </c>
      <c r="S613" t="inlineStr">
        <is>
          <t>Ryan</t>
        </is>
      </c>
      <c r="T613" t="inlineStr">
        <is>
          <t>2024-08</t>
        </is>
      </c>
    </row>
    <row r="614">
      <c r="A614" s="16" t="n">
        <v>45763</v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D</t>
        </is>
      </c>
      <c r="G614" t="inlineStr">
        <is>
          <t>Wholesale</t>
        </is>
      </c>
      <c r="H614" t="n">
        <v>0.1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Cust 2800</t>
        </is>
      </c>
      <c r="P614" t="n">
        <v>49.18</v>
      </c>
      <c r="Q614" s="16" t="n">
        <v>45763</v>
      </c>
      <c r="R614" s="16" t="n">
        <v>45767</v>
      </c>
      <c r="S614" t="inlineStr">
        <is>
          <t>Wendy</t>
        </is>
      </c>
      <c r="T614" t="inlineStr">
        <is>
          <t>2025-04</t>
        </is>
      </c>
    </row>
    <row r="615">
      <c r="A615" s="16" t="n">
        <v>44983</v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0.1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Cust 3863</t>
        </is>
      </c>
      <c r="P615" t="n">
        <v>27.39</v>
      </c>
      <c r="Q615" s="16" t="n">
        <v>44983</v>
      </c>
      <c r="R615" s="16" t="n">
        <v>44987</v>
      </c>
      <c r="S615" t="inlineStr">
        <is>
          <t>Cameron</t>
        </is>
      </c>
      <c r="T615" t="inlineStr">
        <is>
          <t>2023-02</t>
        </is>
      </c>
    </row>
    <row r="616">
      <c r="A616" s="16" t="n">
        <v>44933</v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C</t>
        </is>
      </c>
      <c r="G616" t="inlineStr">
        <is>
          <t>Wholesale</t>
        </is>
      </c>
      <c r="H616" t="n">
        <v>0.05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Cust 8391</t>
        </is>
      </c>
      <c r="P616" t="n">
        <v>12.91</v>
      </c>
      <c r="Q616" s="16" t="n">
        <v>44933</v>
      </c>
      <c r="R616" s="16" t="n">
        <v>44937</v>
      </c>
      <c r="S616" t="inlineStr">
        <is>
          <t>Eric</t>
        </is>
      </c>
      <c r="T616" t="inlineStr">
        <is>
          <t>2023-01</t>
        </is>
      </c>
    </row>
    <row r="617">
      <c r="A617" s="16" t="n">
        <v>45223</v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A</t>
        </is>
      </c>
      <c r="G617" t="inlineStr">
        <is>
          <t>Retail</t>
        </is>
      </c>
      <c r="H617" t="n">
        <v>0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Cust 6711</t>
        </is>
      </c>
      <c r="P617" t="n">
        <v>41.31</v>
      </c>
      <c r="Q617" s="16" t="n">
        <v>45223</v>
      </c>
      <c r="R617" s="16" t="n">
        <v>45233</v>
      </c>
      <c r="S617" t="inlineStr">
        <is>
          <t>Sophie</t>
        </is>
      </c>
      <c r="T617" t="inlineStr">
        <is>
          <t>2023-10</t>
        </is>
      </c>
    </row>
    <row r="618">
      <c r="A618" s="16" t="n">
        <v>45293</v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0.15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n">
        <v/>
      </c>
      <c r="M618" t="n">
        <v>0</v>
      </c>
      <c r="N618" t="inlineStr">
        <is>
          <t>REG100616</t>
        </is>
      </c>
      <c r="O618" t="inlineStr">
        <is>
          <t>Cust 8653</t>
        </is>
      </c>
      <c r="P618" t="n">
        <v>6.04</v>
      </c>
      <c r="Q618" s="16" t="n">
        <v>45293</v>
      </c>
      <c r="R618" s="16" t="n">
        <v>45303</v>
      </c>
      <c r="S618" t="inlineStr">
        <is>
          <t>Ryan</t>
        </is>
      </c>
      <c r="T618" t="inlineStr">
        <is>
          <t>2024-01</t>
        </is>
      </c>
    </row>
    <row r="619">
      <c r="A619" s="16" t="n">
        <v>45552</v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D</t>
        </is>
      </c>
      <c r="G619" t="inlineStr">
        <is>
          <t>Wholesale</t>
        </is>
      </c>
      <c r="H619" t="n">
        <v>0.15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Cust 7937</t>
        </is>
      </c>
      <c r="P619" t="n">
        <v>28.27</v>
      </c>
      <c r="Q619" s="16" t="n">
        <v>45552</v>
      </c>
      <c r="R619" s="16" t="n">
        <v>45560</v>
      </c>
      <c r="S619" t="inlineStr">
        <is>
          <t>Sophie</t>
        </is>
      </c>
      <c r="T619" t="inlineStr">
        <is>
          <t>2024-09</t>
        </is>
      </c>
    </row>
    <row r="620">
      <c r="A620" s="16" t="n">
        <v>45417</v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C</t>
        </is>
      </c>
      <c r="G620" t="inlineStr">
        <is>
          <t>Wholesale</t>
        </is>
      </c>
      <c r="H620" t="n">
        <v>0.05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Cust 5972</t>
        </is>
      </c>
      <c r="P620" t="n">
        <v>37.77</v>
      </c>
      <c r="Q620" s="16" t="n">
        <v>45417</v>
      </c>
      <c r="R620" s="16" t="n">
        <v>45423</v>
      </c>
      <c r="S620" t="inlineStr">
        <is>
          <t>Cameron</t>
        </is>
      </c>
      <c r="T620" t="inlineStr">
        <is>
          <t>2024-05</t>
        </is>
      </c>
    </row>
    <row r="621">
      <c r="A621" s="16" t="n">
        <v>45835</v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D</t>
        </is>
      </c>
      <c r="G621" t="inlineStr">
        <is>
          <t>Retail</t>
        </is>
      </c>
      <c r="H621" t="n">
        <v>0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n">
        <v/>
      </c>
      <c r="M621" t="n">
        <v>0</v>
      </c>
      <c r="N621" t="inlineStr">
        <is>
          <t>REG100619</t>
        </is>
      </c>
      <c r="O621" t="inlineStr">
        <is>
          <t>Cust 8597</t>
        </is>
      </c>
      <c r="P621" t="n">
        <v>12.39</v>
      </c>
      <c r="Q621" s="16" t="n">
        <v>45835</v>
      </c>
      <c r="R621" s="16" t="n">
        <v>45837</v>
      </c>
      <c r="S621" t="inlineStr">
        <is>
          <t>Wendy</t>
        </is>
      </c>
      <c r="T621" t="inlineStr">
        <is>
          <t>2025-06</t>
        </is>
      </c>
    </row>
    <row r="622">
      <c r="A622" s="16" t="n">
        <v>45426</v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D</t>
        </is>
      </c>
      <c r="G622" t="inlineStr">
        <is>
          <t>Retail</t>
        </is>
      </c>
      <c r="H622" t="n">
        <v>0.15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Cust 5382</t>
        </is>
      </c>
      <c r="P622" t="n">
        <v>7.39</v>
      </c>
      <c r="Q622" s="16" t="n">
        <v>45426</v>
      </c>
      <c r="R622" s="16" t="n">
        <v>45434</v>
      </c>
      <c r="S622" t="inlineStr">
        <is>
          <t>Wendy</t>
        </is>
      </c>
      <c r="T622" t="inlineStr">
        <is>
          <t>2024-05</t>
        </is>
      </c>
    </row>
    <row r="623">
      <c r="A623" s="16" t="n">
        <v>45351</v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A</t>
        </is>
      </c>
      <c r="G623" t="inlineStr">
        <is>
          <t>Wholesale</t>
        </is>
      </c>
      <c r="H623" t="n">
        <v>0.15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n">
        <v/>
      </c>
      <c r="M623" t="n">
        <v>1</v>
      </c>
      <c r="N623" t="inlineStr">
        <is>
          <t>REG100621</t>
        </is>
      </c>
      <c r="O623" t="inlineStr">
        <is>
          <t>Cust 4323</t>
        </is>
      </c>
      <c r="P623" t="n">
        <v>30.78</v>
      </c>
      <c r="Q623" s="16" t="n">
        <v>45351</v>
      </c>
      <c r="R623" s="16" t="n">
        <v>45356</v>
      </c>
      <c r="S623" t="inlineStr">
        <is>
          <t>Ryan</t>
        </is>
      </c>
      <c r="T623" t="inlineStr">
        <is>
          <t>2024-02</t>
        </is>
      </c>
    </row>
    <row r="624">
      <c r="A624" s="16" t="n">
        <v>45796</v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A</t>
        </is>
      </c>
      <c r="G624" t="inlineStr">
        <is>
          <t>Wholesale</t>
        </is>
      </c>
      <c r="H624" t="n">
        <v>0.15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Cust 1767</t>
        </is>
      </c>
      <c r="P624" t="n">
        <v>5.98</v>
      </c>
      <c r="Q624" s="16" t="n">
        <v>45796</v>
      </c>
      <c r="R624" s="16" t="n">
        <v>45804</v>
      </c>
      <c r="S624" t="inlineStr">
        <is>
          <t>Eric</t>
        </is>
      </c>
      <c r="T624" t="inlineStr">
        <is>
          <t>2025-05</t>
        </is>
      </c>
    </row>
    <row r="625">
      <c r="A625" s="16" t="n">
        <v>45628</v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B</t>
        </is>
      </c>
      <c r="G625" t="inlineStr">
        <is>
          <t>Wholesale</t>
        </is>
      </c>
      <c r="H625" t="n">
        <v>0.05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n">
        <v/>
      </c>
      <c r="M625" t="n">
        <v>0</v>
      </c>
      <c r="N625" t="inlineStr">
        <is>
          <t>REG100623</t>
        </is>
      </c>
      <c r="O625" t="inlineStr">
        <is>
          <t>Cust 3845</t>
        </is>
      </c>
      <c r="P625" t="n">
        <v>41.64</v>
      </c>
      <c r="Q625" s="16" t="n">
        <v>45628</v>
      </c>
      <c r="R625" s="16" t="n">
        <v>45630</v>
      </c>
      <c r="S625" t="inlineStr">
        <is>
          <t>Eric</t>
        </is>
      </c>
      <c r="T625" t="inlineStr">
        <is>
          <t>2024-12</t>
        </is>
      </c>
    </row>
    <row r="626">
      <c r="A626" s="16" t="n">
        <v>45503</v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D</t>
        </is>
      </c>
      <c r="G626" t="inlineStr">
        <is>
          <t>Wholesale</t>
        </is>
      </c>
      <c r="H626" t="n">
        <v>0.15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Cust 5912</t>
        </is>
      </c>
      <c r="P626" t="n">
        <v>48.71</v>
      </c>
      <c r="Q626" s="16" t="n">
        <v>45503</v>
      </c>
      <c r="R626" s="16" t="n">
        <v>45508</v>
      </c>
      <c r="S626" t="inlineStr">
        <is>
          <t>Wendy</t>
        </is>
      </c>
      <c r="T626" t="inlineStr">
        <is>
          <t>2024-07</t>
        </is>
      </c>
    </row>
    <row r="627">
      <c r="A627" s="16" t="n">
        <v>45102</v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B</t>
        </is>
      </c>
      <c r="G627" t="inlineStr">
        <is>
          <t>Wholesale</t>
        </is>
      </c>
      <c r="H627" t="n">
        <v>0.1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n">
        <v/>
      </c>
      <c r="M627" t="n">
        <v>0</v>
      </c>
      <c r="N627" t="inlineStr">
        <is>
          <t>REG100625</t>
        </is>
      </c>
      <c r="O627" t="inlineStr">
        <is>
          <t>Cust 4446</t>
        </is>
      </c>
      <c r="P627" t="n">
        <v>41.08</v>
      </c>
      <c r="Q627" s="16" t="n">
        <v>45102</v>
      </c>
      <c r="R627" s="16" t="n">
        <v>45110</v>
      </c>
      <c r="S627" t="inlineStr">
        <is>
          <t>Sophie</t>
        </is>
      </c>
      <c r="T627" t="inlineStr">
        <is>
          <t>2023-06</t>
        </is>
      </c>
    </row>
    <row r="628">
      <c r="A628" s="16" t="n">
        <v>45483</v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D</t>
        </is>
      </c>
      <c r="G628" t="inlineStr">
        <is>
          <t>Wholesale</t>
        </is>
      </c>
      <c r="H628" t="n">
        <v>0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Cust 6107</t>
        </is>
      </c>
      <c r="P628" t="n">
        <v>14.61</v>
      </c>
      <c r="Q628" s="16" t="n">
        <v>45483</v>
      </c>
      <c r="R628" s="16" t="n">
        <v>45492</v>
      </c>
      <c r="S628" t="inlineStr">
        <is>
          <t>Sophie</t>
        </is>
      </c>
      <c r="T628" t="inlineStr">
        <is>
          <t>2024-07</t>
        </is>
      </c>
    </row>
    <row r="629">
      <c r="A629" s="16" t="n">
        <v>44932</v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A</t>
        </is>
      </c>
      <c r="G629" t="inlineStr">
        <is>
          <t>Wholesale</t>
        </is>
      </c>
      <c r="H629" t="n">
        <v>0.1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Cust 3330</t>
        </is>
      </c>
      <c r="P629" t="n">
        <v>39.01</v>
      </c>
      <c r="Q629" s="16" t="n">
        <v>44932</v>
      </c>
      <c r="R629" s="16" t="n">
        <v>44941</v>
      </c>
      <c r="S629" t="inlineStr">
        <is>
          <t>Eric</t>
        </is>
      </c>
      <c r="T629" t="inlineStr">
        <is>
          <t>2023-01</t>
        </is>
      </c>
    </row>
    <row r="630">
      <c r="A630" s="16" t="n">
        <v>45346</v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B</t>
        </is>
      </c>
      <c r="G630" t="inlineStr">
        <is>
          <t>Wholesale</t>
        </is>
      </c>
      <c r="H630" t="n">
        <v>0.1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Cust 3604</t>
        </is>
      </c>
      <c r="P630" t="n">
        <v>17.2</v>
      </c>
      <c r="Q630" s="16" t="n">
        <v>45346</v>
      </c>
      <c r="R630" s="16" t="n">
        <v>45351</v>
      </c>
      <c r="S630" t="inlineStr">
        <is>
          <t>Sophie</t>
        </is>
      </c>
      <c r="T630" t="inlineStr">
        <is>
          <t>2024-02</t>
        </is>
      </c>
    </row>
    <row r="631">
      <c r="A631" s="16" t="n">
        <v>45271</v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B</t>
        </is>
      </c>
      <c r="G631" t="inlineStr">
        <is>
          <t>Retail</t>
        </is>
      </c>
      <c r="H631" t="n">
        <v>0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Cust 7412</t>
        </is>
      </c>
      <c r="P631" t="n">
        <v>8.67</v>
      </c>
      <c r="Q631" s="16" t="n">
        <v>45271</v>
      </c>
      <c r="R631" s="16" t="n">
        <v>45280</v>
      </c>
      <c r="S631" t="inlineStr">
        <is>
          <t>Cameron</t>
        </is>
      </c>
      <c r="T631" t="inlineStr">
        <is>
          <t>2023-12</t>
        </is>
      </c>
    </row>
    <row r="632">
      <c r="A632" s="16" t="n">
        <v>45707</v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0.15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Cust 5183</t>
        </is>
      </c>
      <c r="P632" t="n">
        <v>22.84</v>
      </c>
      <c r="Q632" s="16" t="n">
        <v>45707</v>
      </c>
      <c r="R632" s="16" t="n">
        <v>45711</v>
      </c>
      <c r="S632" t="inlineStr">
        <is>
          <t>Sophie</t>
        </is>
      </c>
      <c r="T632" t="inlineStr">
        <is>
          <t>2025-02</t>
        </is>
      </c>
    </row>
    <row r="633">
      <c r="A633" s="16" t="n">
        <v>45734</v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D</t>
        </is>
      </c>
      <c r="G633" t="inlineStr">
        <is>
          <t>Wholesale</t>
        </is>
      </c>
      <c r="H633" t="n">
        <v>0.15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Cust 4825</t>
        </is>
      </c>
      <c r="P633" t="n">
        <v>31.91</v>
      </c>
      <c r="Q633" s="16" t="n">
        <v>45734</v>
      </c>
      <c r="R633" s="16" t="n">
        <v>45742</v>
      </c>
      <c r="S633" t="inlineStr">
        <is>
          <t>Wendy</t>
        </is>
      </c>
      <c r="T633" t="inlineStr">
        <is>
          <t>2025-03</t>
        </is>
      </c>
    </row>
    <row r="634">
      <c r="A634" s="16" t="n">
        <v>45191</v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B</t>
        </is>
      </c>
      <c r="G634" t="inlineStr">
        <is>
          <t>Wholesale</t>
        </is>
      </c>
      <c r="H634" t="n">
        <v>0.1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n">
        <v/>
      </c>
      <c r="M634" t="n">
        <v>1</v>
      </c>
      <c r="N634" t="inlineStr">
        <is>
          <t>REG100632</t>
        </is>
      </c>
      <c r="O634" t="inlineStr">
        <is>
          <t>Cust 2123</t>
        </is>
      </c>
      <c r="P634" t="n">
        <v>44.37</v>
      </c>
      <c r="Q634" s="16" t="n">
        <v>45191</v>
      </c>
      <c r="R634" s="16" t="n">
        <v>45196</v>
      </c>
      <c r="S634" t="inlineStr">
        <is>
          <t>Sophie</t>
        </is>
      </c>
      <c r="T634" t="inlineStr">
        <is>
          <t>2023-09</t>
        </is>
      </c>
    </row>
    <row r="635">
      <c r="A635" s="16" t="n">
        <v>45283</v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A</t>
        </is>
      </c>
      <c r="G635" t="inlineStr">
        <is>
          <t>Retail</t>
        </is>
      </c>
      <c r="H635" t="n">
        <v>0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Cust 8684</t>
        </is>
      </c>
      <c r="P635" t="n">
        <v>10.08</v>
      </c>
      <c r="Q635" s="16" t="n">
        <v>45283</v>
      </c>
      <c r="R635" s="16" t="n">
        <v>45288</v>
      </c>
      <c r="S635" t="inlineStr">
        <is>
          <t>Wendy</t>
        </is>
      </c>
      <c r="T635" t="inlineStr">
        <is>
          <t>2023-12</t>
        </is>
      </c>
    </row>
    <row r="636">
      <c r="A636" s="16" t="n">
        <v>45781</v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B</t>
        </is>
      </c>
      <c r="G636" t="inlineStr">
        <is>
          <t>Retail</t>
        </is>
      </c>
      <c r="H636" t="n">
        <v>0.05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n">
        <v/>
      </c>
      <c r="M636" t="n">
        <v>0</v>
      </c>
      <c r="N636" t="inlineStr">
        <is>
          <t>REG100634</t>
        </is>
      </c>
      <c r="O636" t="inlineStr">
        <is>
          <t>Cust 5964</t>
        </is>
      </c>
      <c r="P636" t="n">
        <v>20.38</v>
      </c>
      <c r="Q636" s="16" t="n">
        <v>45781</v>
      </c>
      <c r="R636" s="16" t="n">
        <v>45787</v>
      </c>
      <c r="S636" t="inlineStr">
        <is>
          <t>Ryan</t>
        </is>
      </c>
      <c r="T636" t="inlineStr">
        <is>
          <t>2025-05</t>
        </is>
      </c>
    </row>
    <row r="637">
      <c r="A637" s="16" t="n">
        <v>45668</v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0.1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Cust 1810</t>
        </is>
      </c>
      <c r="P637" t="n">
        <v>24.41</v>
      </c>
      <c r="Q637" s="16" t="n">
        <v>45668</v>
      </c>
      <c r="R637" s="16" t="n">
        <v>45670</v>
      </c>
      <c r="S637" t="inlineStr">
        <is>
          <t>Eric</t>
        </is>
      </c>
      <c r="T637" t="inlineStr">
        <is>
          <t>2025-01</t>
        </is>
      </c>
    </row>
    <row r="638">
      <c r="A638" s="16" t="n">
        <v>45768</v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B</t>
        </is>
      </c>
      <c r="G638" t="inlineStr">
        <is>
          <t>Retail</t>
        </is>
      </c>
      <c r="H638" t="n">
        <v>0.05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Cust 2685</t>
        </is>
      </c>
      <c r="P638" t="n">
        <v>43.21</v>
      </c>
      <c r="Q638" s="16" t="n">
        <v>45768</v>
      </c>
      <c r="R638" s="16" t="n">
        <v>45771</v>
      </c>
      <c r="S638" t="inlineStr">
        <is>
          <t>Sophie</t>
        </is>
      </c>
      <c r="T638" t="inlineStr">
        <is>
          <t>2025-04</t>
        </is>
      </c>
    </row>
    <row r="639">
      <c r="A639" s="16" t="n">
        <v>45273</v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0.15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Cust 7855</t>
        </is>
      </c>
      <c r="P639" t="n">
        <v>44.61</v>
      </c>
      <c r="Q639" s="16" t="n">
        <v>45273</v>
      </c>
      <c r="R639" s="16" t="n">
        <v>45282</v>
      </c>
      <c r="S639" t="inlineStr">
        <is>
          <t>Cameron</t>
        </is>
      </c>
      <c r="T639" t="inlineStr">
        <is>
          <t>2023-12</t>
        </is>
      </c>
    </row>
    <row r="640">
      <c r="A640" s="16" t="n">
        <v>45329</v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B</t>
        </is>
      </c>
      <c r="G640" t="inlineStr">
        <is>
          <t>Wholesale</t>
        </is>
      </c>
      <c r="H640" t="n">
        <v>0.1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Cust 4101</t>
        </is>
      </c>
      <c r="P640" t="n">
        <v>16.82</v>
      </c>
      <c r="Q640" s="16" t="n">
        <v>45329</v>
      </c>
      <c r="R640" s="16" t="n">
        <v>45333</v>
      </c>
      <c r="S640" t="inlineStr">
        <is>
          <t>Eric</t>
        </is>
      </c>
      <c r="T640" t="inlineStr">
        <is>
          <t>2024-02</t>
        </is>
      </c>
    </row>
    <row r="641">
      <c r="A641" s="16" t="n">
        <v>45406</v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B</t>
        </is>
      </c>
      <c r="G641" t="inlineStr">
        <is>
          <t>Wholesale</t>
        </is>
      </c>
      <c r="H641" t="n">
        <v>0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Cust 7964</t>
        </is>
      </c>
      <c r="P641" t="n">
        <v>33.94</v>
      </c>
      <c r="Q641" s="16" t="n">
        <v>45406</v>
      </c>
      <c r="R641" s="16" t="n">
        <v>45409</v>
      </c>
      <c r="S641" t="inlineStr">
        <is>
          <t>Ryan</t>
        </is>
      </c>
      <c r="T641" t="inlineStr">
        <is>
          <t>2024-04</t>
        </is>
      </c>
    </row>
    <row r="642">
      <c r="A642" s="16" t="n">
        <v>45180</v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0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Cust 5857</t>
        </is>
      </c>
      <c r="P642" t="n">
        <v>25.35</v>
      </c>
      <c r="Q642" s="16" t="n">
        <v>45180</v>
      </c>
      <c r="R642" s="16" t="n">
        <v>45185</v>
      </c>
      <c r="S642" t="inlineStr">
        <is>
          <t>Wendy</t>
        </is>
      </c>
      <c r="T642" t="inlineStr">
        <is>
          <t>2023-09</t>
        </is>
      </c>
    </row>
    <row r="643">
      <c r="A643" s="16" t="n">
        <v>45817</v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A</t>
        </is>
      </c>
      <c r="G643" t="inlineStr">
        <is>
          <t>Retail</t>
        </is>
      </c>
      <c r="H643" t="n">
        <v>0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Cust 7010</t>
        </is>
      </c>
      <c r="P643" t="n">
        <v>23.69</v>
      </c>
      <c r="Q643" s="16" t="n">
        <v>45817</v>
      </c>
      <c r="R643" s="16" t="n">
        <v>45820</v>
      </c>
      <c r="S643" t="inlineStr">
        <is>
          <t>Cameron</t>
        </is>
      </c>
      <c r="T643" t="inlineStr">
        <is>
          <t>2025-06</t>
        </is>
      </c>
    </row>
    <row r="644">
      <c r="A644" s="16" t="n">
        <v>45814</v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0.15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Cust 7917</t>
        </is>
      </c>
      <c r="P644" t="n">
        <v>9.859999999999999</v>
      </c>
      <c r="Q644" s="16" t="n">
        <v>45814</v>
      </c>
      <c r="R644" s="16" t="n">
        <v>45824</v>
      </c>
      <c r="S644" t="inlineStr">
        <is>
          <t>Eric</t>
        </is>
      </c>
      <c r="T644" t="inlineStr">
        <is>
          <t>2025-06</t>
        </is>
      </c>
    </row>
    <row r="645">
      <c r="A645" s="16" t="n">
        <v>45649</v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C</t>
        </is>
      </c>
      <c r="G645" t="inlineStr">
        <is>
          <t>Wholesale</t>
        </is>
      </c>
      <c r="H645" t="n">
        <v>0.1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Cust 8111</t>
        </is>
      </c>
      <c r="P645" t="n">
        <v>45.63</v>
      </c>
      <c r="Q645" s="16" t="n">
        <v>45649</v>
      </c>
      <c r="R645" s="16" t="n">
        <v>45654</v>
      </c>
      <c r="S645" t="inlineStr">
        <is>
          <t>Sophie</t>
        </is>
      </c>
      <c r="T645" t="inlineStr">
        <is>
          <t>2024-12</t>
        </is>
      </c>
    </row>
    <row r="646">
      <c r="A646" s="16" t="n">
        <v>45165</v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B</t>
        </is>
      </c>
      <c r="G646" t="inlineStr">
        <is>
          <t>Wholesale</t>
        </is>
      </c>
      <c r="H646" t="n">
        <v>0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Cust 4715</t>
        </is>
      </c>
      <c r="P646" t="n">
        <v>5.48</v>
      </c>
      <c r="Q646" s="16" t="n">
        <v>45165</v>
      </c>
      <c r="R646" s="16" t="n">
        <v>45172</v>
      </c>
      <c r="S646" t="inlineStr">
        <is>
          <t>Eric</t>
        </is>
      </c>
      <c r="T646" t="inlineStr">
        <is>
          <t>2023-08</t>
        </is>
      </c>
    </row>
    <row r="647">
      <c r="A647" s="16" t="n">
        <v>44935</v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A</t>
        </is>
      </c>
      <c r="G647" t="inlineStr">
        <is>
          <t>Wholesale</t>
        </is>
      </c>
      <c r="H647" t="n">
        <v>0.1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Cust 8720</t>
        </is>
      </c>
      <c r="P647" t="n">
        <v>10.99</v>
      </c>
      <c r="Q647" s="16" t="n">
        <v>44935</v>
      </c>
      <c r="R647" s="16" t="n">
        <v>44939</v>
      </c>
      <c r="S647" t="inlineStr">
        <is>
          <t>Eric</t>
        </is>
      </c>
      <c r="T647" t="inlineStr">
        <is>
          <t>2023-01</t>
        </is>
      </c>
    </row>
    <row r="648">
      <c r="A648" s="16" t="n">
        <v>45769</v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C</t>
        </is>
      </c>
      <c r="G648" t="inlineStr">
        <is>
          <t>Wholesale</t>
        </is>
      </c>
      <c r="H648" t="n">
        <v>0.1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Cust 8216</t>
        </is>
      </c>
      <c r="P648" t="n">
        <v>49.91</v>
      </c>
      <c r="Q648" s="16" t="n">
        <v>45769</v>
      </c>
      <c r="R648" s="16" t="n">
        <v>45772</v>
      </c>
      <c r="S648" t="inlineStr">
        <is>
          <t>Eric</t>
        </is>
      </c>
      <c r="T648" t="inlineStr">
        <is>
          <t>2025-04</t>
        </is>
      </c>
    </row>
    <row r="649">
      <c r="A649" s="16" t="n">
        <v>45175</v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D</t>
        </is>
      </c>
      <c r="G649" t="inlineStr">
        <is>
          <t>Retail</t>
        </is>
      </c>
      <c r="H649" t="n">
        <v>0.1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n">
        <v/>
      </c>
      <c r="M649" t="n">
        <v>0</v>
      </c>
      <c r="N649" t="inlineStr">
        <is>
          <t>REG100647</t>
        </is>
      </c>
      <c r="O649" t="inlineStr">
        <is>
          <t>Cust 6946</t>
        </is>
      </c>
      <c r="P649" t="n">
        <v>48.92</v>
      </c>
      <c r="Q649" s="16" t="n">
        <v>45175</v>
      </c>
      <c r="R649" s="16" t="n">
        <v>45180</v>
      </c>
      <c r="S649" t="inlineStr">
        <is>
          <t>Sophie</t>
        </is>
      </c>
      <c r="T649" t="inlineStr">
        <is>
          <t>2023-09</t>
        </is>
      </c>
    </row>
    <row r="650">
      <c r="A650" s="16" t="n">
        <v>44947</v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A</t>
        </is>
      </c>
      <c r="G650" t="inlineStr">
        <is>
          <t>Wholesale</t>
        </is>
      </c>
      <c r="H650" t="n">
        <v>0.1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Cust 9888</t>
        </is>
      </c>
      <c r="P650" t="n">
        <v>39.98</v>
      </c>
      <c r="Q650" s="16" t="n">
        <v>44947</v>
      </c>
      <c r="R650" s="16" t="n">
        <v>44953</v>
      </c>
      <c r="S650" t="inlineStr">
        <is>
          <t>Eric</t>
        </is>
      </c>
      <c r="T650" t="inlineStr">
        <is>
          <t>2023-01</t>
        </is>
      </c>
    </row>
    <row r="651">
      <c r="A651" s="16" t="n">
        <v>45408</v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D</t>
        </is>
      </c>
      <c r="G651" t="inlineStr">
        <is>
          <t>Retail</t>
        </is>
      </c>
      <c r="H651" t="n">
        <v>0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Cust 4009</t>
        </is>
      </c>
      <c r="P651" t="n">
        <v>25.2</v>
      </c>
      <c r="Q651" s="16" t="n">
        <v>45408</v>
      </c>
      <c r="R651" s="16" t="n">
        <v>45418</v>
      </c>
      <c r="S651" t="inlineStr">
        <is>
          <t>Cameron</t>
        </is>
      </c>
      <c r="T651" t="inlineStr">
        <is>
          <t>2024-04</t>
        </is>
      </c>
    </row>
    <row r="652">
      <c r="A652" s="16" t="n">
        <v>45104</v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B</t>
        </is>
      </c>
      <c r="G652" t="inlineStr">
        <is>
          <t>Retail</t>
        </is>
      </c>
      <c r="H652" t="n">
        <v>0.05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Cust 9489</t>
        </is>
      </c>
      <c r="P652" t="n">
        <v>6.47</v>
      </c>
      <c r="Q652" s="16" t="n">
        <v>45104</v>
      </c>
      <c r="R652" s="16" t="n">
        <v>45107</v>
      </c>
      <c r="S652" t="inlineStr">
        <is>
          <t>Ryan</t>
        </is>
      </c>
      <c r="T652" t="inlineStr">
        <is>
          <t>2023-06</t>
        </is>
      </c>
    </row>
    <row r="653">
      <c r="A653" s="16" t="n">
        <v>44927</v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C</t>
        </is>
      </c>
      <c r="G653" t="inlineStr">
        <is>
          <t>Retail</t>
        </is>
      </c>
      <c r="H653" t="n">
        <v>0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Cust 2446</t>
        </is>
      </c>
      <c r="P653" t="n">
        <v>11.38</v>
      </c>
      <c r="Q653" s="16" t="n">
        <v>44927</v>
      </c>
      <c r="R653" s="16" t="n">
        <v>44934</v>
      </c>
      <c r="S653" t="inlineStr">
        <is>
          <t>Eric</t>
        </is>
      </c>
      <c r="T653" t="inlineStr">
        <is>
          <t>2023-01</t>
        </is>
      </c>
    </row>
    <row r="654">
      <c r="A654" s="16" t="n">
        <v>45290</v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A</t>
        </is>
      </c>
      <c r="G654" t="inlineStr">
        <is>
          <t>Retail</t>
        </is>
      </c>
      <c r="H654" t="n">
        <v>0.15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Cust 4150</t>
        </is>
      </c>
      <c r="P654" t="n">
        <v>8.93</v>
      </c>
      <c r="Q654" s="16" t="n">
        <v>45290</v>
      </c>
      <c r="R654" s="16" t="n">
        <v>45293</v>
      </c>
      <c r="S654" t="inlineStr">
        <is>
          <t>Wendy</t>
        </is>
      </c>
      <c r="T654" t="inlineStr">
        <is>
          <t>2023-12</t>
        </is>
      </c>
    </row>
    <row r="655">
      <c r="A655" s="16" t="n">
        <v>44948</v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C</t>
        </is>
      </c>
      <c r="G655" t="inlineStr">
        <is>
          <t>Retail</t>
        </is>
      </c>
      <c r="H655" t="n">
        <v>0.1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n">
        <v/>
      </c>
      <c r="M655" t="n">
        <v>0</v>
      </c>
      <c r="N655" t="inlineStr">
        <is>
          <t>REG100653</t>
        </is>
      </c>
      <c r="O655" t="inlineStr">
        <is>
          <t>Cust 3569</t>
        </is>
      </c>
      <c r="P655" t="n">
        <v>8.619999999999999</v>
      </c>
      <c r="Q655" s="16" t="n">
        <v>44948</v>
      </c>
      <c r="R655" s="16" t="n">
        <v>44950</v>
      </c>
      <c r="S655" t="inlineStr">
        <is>
          <t>Cameron</t>
        </is>
      </c>
      <c r="T655" t="inlineStr">
        <is>
          <t>2023-01</t>
        </is>
      </c>
    </row>
    <row r="656">
      <c r="A656" s="16" t="n">
        <v>45500</v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A</t>
        </is>
      </c>
      <c r="G656" t="inlineStr">
        <is>
          <t>Retail</t>
        </is>
      </c>
      <c r="H656" t="n">
        <v>0.05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Cust 1023</t>
        </is>
      </c>
      <c r="P656" t="n">
        <v>11.49</v>
      </c>
      <c r="Q656" s="16" t="n">
        <v>45500</v>
      </c>
      <c r="R656" s="16" t="n">
        <v>45509</v>
      </c>
      <c r="S656" t="inlineStr">
        <is>
          <t>Sophie</t>
        </is>
      </c>
      <c r="T656" t="inlineStr">
        <is>
          <t>2024-07</t>
        </is>
      </c>
    </row>
    <row r="657">
      <c r="A657" s="16" t="n">
        <v>45306</v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B</t>
        </is>
      </c>
      <c r="G657" t="inlineStr">
        <is>
          <t>Wholesale</t>
        </is>
      </c>
      <c r="H657" t="n">
        <v>0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Cust 3748</t>
        </is>
      </c>
      <c r="P657" t="n">
        <v>30.25</v>
      </c>
      <c r="Q657" s="16" t="n">
        <v>45306</v>
      </c>
      <c r="R657" s="16" t="n">
        <v>45308</v>
      </c>
      <c r="S657" t="inlineStr">
        <is>
          <t>Sophie</t>
        </is>
      </c>
      <c r="T657" t="inlineStr">
        <is>
          <t>2024-01</t>
        </is>
      </c>
    </row>
    <row r="658">
      <c r="A658" s="16" t="n">
        <v>45295</v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Cust 4798</t>
        </is>
      </c>
      <c r="P658" t="n">
        <v>42.38</v>
      </c>
      <c r="Q658" s="16" t="n">
        <v>45295</v>
      </c>
      <c r="R658" s="16" t="n">
        <v>45305</v>
      </c>
      <c r="S658" t="inlineStr">
        <is>
          <t>Wendy</t>
        </is>
      </c>
      <c r="T658" t="inlineStr">
        <is>
          <t>2024-01</t>
        </is>
      </c>
    </row>
    <row r="659">
      <c r="A659" s="16" t="n">
        <v>44966</v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A</t>
        </is>
      </c>
      <c r="G659" t="inlineStr">
        <is>
          <t>Retail</t>
        </is>
      </c>
      <c r="H659" t="n">
        <v>0.05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Cust 8305</t>
        </is>
      </c>
      <c r="P659" t="n">
        <v>40.35</v>
      </c>
      <c r="Q659" s="16" t="n">
        <v>44966</v>
      </c>
      <c r="R659" s="16" t="n">
        <v>44976</v>
      </c>
      <c r="S659" t="inlineStr">
        <is>
          <t>Eric</t>
        </is>
      </c>
      <c r="T659" t="inlineStr">
        <is>
          <t>2023-02</t>
        </is>
      </c>
    </row>
    <row r="660">
      <c r="A660" s="16" t="n">
        <v>45463</v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0.1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Cust 3864</t>
        </is>
      </c>
      <c r="P660" t="n">
        <v>21.88</v>
      </c>
      <c r="Q660" s="16" t="n">
        <v>45463</v>
      </c>
      <c r="R660" s="16" t="n">
        <v>45467</v>
      </c>
      <c r="S660" t="inlineStr">
        <is>
          <t>Ryan</t>
        </is>
      </c>
      <c r="T660" t="inlineStr">
        <is>
          <t>2024-06</t>
        </is>
      </c>
    </row>
    <row r="661">
      <c r="A661" s="16" t="n">
        <v>44978</v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C</t>
        </is>
      </c>
      <c r="G661" t="inlineStr">
        <is>
          <t>Retail</t>
        </is>
      </c>
      <c r="H661" t="n">
        <v>0.05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Cust 3459</t>
        </is>
      </c>
      <c r="P661" t="n">
        <v>47.95</v>
      </c>
      <c r="Q661" s="16" t="n">
        <v>44978</v>
      </c>
      <c r="R661" s="16" t="n">
        <v>44988</v>
      </c>
      <c r="S661" t="inlineStr">
        <is>
          <t>Cameron</t>
        </is>
      </c>
      <c r="T661" t="inlineStr">
        <is>
          <t>2023-02</t>
        </is>
      </c>
    </row>
    <row r="662">
      <c r="A662" s="16" t="n">
        <v>45154</v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B</t>
        </is>
      </c>
      <c r="G662" t="inlineStr">
        <is>
          <t>Retail</t>
        </is>
      </c>
      <c r="H662" t="n">
        <v>0.1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n">
        <v/>
      </c>
      <c r="M662" t="n">
        <v>1</v>
      </c>
      <c r="N662" t="inlineStr">
        <is>
          <t>REG100660</t>
        </is>
      </c>
      <c r="O662" t="inlineStr">
        <is>
          <t>Cust 1187</t>
        </is>
      </c>
      <c r="P662" t="n">
        <v>38.59</v>
      </c>
      <c r="Q662" s="16" t="n">
        <v>45154</v>
      </c>
      <c r="R662" s="16" t="n">
        <v>45162</v>
      </c>
      <c r="S662" t="inlineStr">
        <is>
          <t>Cameron</t>
        </is>
      </c>
      <c r="T662" t="inlineStr">
        <is>
          <t>2023-08</t>
        </is>
      </c>
    </row>
    <row r="663">
      <c r="A663" s="16" t="n">
        <v>45233</v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D</t>
        </is>
      </c>
      <c r="G663" t="inlineStr">
        <is>
          <t>Wholesale</t>
        </is>
      </c>
      <c r="H663" t="n">
        <v>0.1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Cust 7509</t>
        </is>
      </c>
      <c r="P663" t="n">
        <v>16.64</v>
      </c>
      <c r="Q663" s="16" t="n">
        <v>45233</v>
      </c>
      <c r="R663" s="16" t="n">
        <v>45241</v>
      </c>
      <c r="S663" t="inlineStr">
        <is>
          <t>Wendy</t>
        </is>
      </c>
      <c r="T663" t="inlineStr">
        <is>
          <t>2023-11</t>
        </is>
      </c>
    </row>
    <row r="664">
      <c r="A664" s="16" t="n">
        <v>45408</v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C</t>
        </is>
      </c>
      <c r="G664" t="inlineStr">
        <is>
          <t>Wholesale</t>
        </is>
      </c>
      <c r="H664" t="n">
        <v>0.05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Cust 1869</t>
        </is>
      </c>
      <c r="P664" t="n">
        <v>40.78</v>
      </c>
      <c r="Q664" s="16" t="n">
        <v>45408</v>
      </c>
      <c r="R664" s="16" t="n">
        <v>45413</v>
      </c>
      <c r="S664" t="inlineStr">
        <is>
          <t>Sophie</t>
        </is>
      </c>
      <c r="T664" t="inlineStr">
        <is>
          <t>2024-04</t>
        </is>
      </c>
    </row>
    <row r="665">
      <c r="A665" s="16" t="n">
        <v>45573</v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D</t>
        </is>
      </c>
      <c r="G665" t="inlineStr">
        <is>
          <t>Wholesale</t>
        </is>
      </c>
      <c r="H665" t="n">
        <v>0.15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Cust 5943</t>
        </is>
      </c>
      <c r="P665" t="n">
        <v>5.77</v>
      </c>
      <c r="Q665" s="16" t="n">
        <v>45573</v>
      </c>
      <c r="R665" s="16" t="n">
        <v>45582</v>
      </c>
      <c r="S665" t="inlineStr">
        <is>
          <t>Sophie</t>
        </is>
      </c>
      <c r="T665" t="inlineStr">
        <is>
          <t>2024-10</t>
        </is>
      </c>
    </row>
    <row r="666">
      <c r="A666" s="16" t="n">
        <v>44935</v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0.1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Cust 8364</t>
        </is>
      </c>
      <c r="P666" t="n">
        <v>46.93</v>
      </c>
      <c r="Q666" s="16" t="n">
        <v>44935</v>
      </c>
      <c r="R666" s="16" t="n">
        <v>44943</v>
      </c>
      <c r="S666" t="inlineStr">
        <is>
          <t>Sophie</t>
        </is>
      </c>
      <c r="T666" t="inlineStr">
        <is>
          <t>2023-01</t>
        </is>
      </c>
    </row>
    <row r="667">
      <c r="A667" s="16" t="n">
        <v>45285</v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D</t>
        </is>
      </c>
      <c r="G667" t="inlineStr">
        <is>
          <t>Wholesale</t>
        </is>
      </c>
      <c r="H667" t="n">
        <v>0.05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Cust 8401</t>
        </is>
      </c>
      <c r="P667" t="n">
        <v>16.43</v>
      </c>
      <c r="Q667" s="16" t="n">
        <v>45285</v>
      </c>
      <c r="R667" s="16" t="n">
        <v>45293</v>
      </c>
      <c r="S667" t="inlineStr">
        <is>
          <t>Ryan</t>
        </is>
      </c>
      <c r="T667" t="inlineStr">
        <is>
          <t>2023-12</t>
        </is>
      </c>
    </row>
    <row r="668">
      <c r="A668" s="16" t="n">
        <v>45423</v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0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Cust 4047</t>
        </is>
      </c>
      <c r="P668" t="n">
        <v>9.31</v>
      </c>
      <c r="Q668" s="16" t="n">
        <v>45423</v>
      </c>
      <c r="R668" s="16" t="n">
        <v>45432</v>
      </c>
      <c r="S668" t="inlineStr">
        <is>
          <t>Cameron</t>
        </is>
      </c>
      <c r="T668" t="inlineStr">
        <is>
          <t>2024-05</t>
        </is>
      </c>
    </row>
    <row r="669">
      <c r="A669" s="16" t="n">
        <v>45253</v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B</t>
        </is>
      </c>
      <c r="G669" t="inlineStr">
        <is>
          <t>Retail</t>
        </is>
      </c>
      <c r="H669" t="n">
        <v>0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Cust 6019</t>
        </is>
      </c>
      <c r="P669" t="n">
        <v>44.48</v>
      </c>
      <c r="Q669" s="16" t="n">
        <v>45253</v>
      </c>
      <c r="R669" s="16" t="n">
        <v>45256</v>
      </c>
      <c r="S669" t="inlineStr">
        <is>
          <t>Wendy</t>
        </is>
      </c>
      <c r="T669" t="inlineStr">
        <is>
          <t>2023-11</t>
        </is>
      </c>
    </row>
    <row r="670">
      <c r="A670" s="16" t="n">
        <v>45270</v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A</t>
        </is>
      </c>
      <c r="G670" t="inlineStr">
        <is>
          <t>Wholesale</t>
        </is>
      </c>
      <c r="H670" t="n">
        <v>0.05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Cust 8750</t>
        </is>
      </c>
      <c r="P670" t="n">
        <v>23.91</v>
      </c>
      <c r="Q670" s="16" t="n">
        <v>45270</v>
      </c>
      <c r="R670" s="16" t="n">
        <v>45272</v>
      </c>
      <c r="S670" t="inlineStr">
        <is>
          <t>Cameron</t>
        </is>
      </c>
      <c r="T670" t="inlineStr">
        <is>
          <t>2023-12</t>
        </is>
      </c>
    </row>
    <row r="671">
      <c r="A671" s="16" t="n">
        <v>45325</v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C</t>
        </is>
      </c>
      <c r="G671" t="inlineStr">
        <is>
          <t>Retail</t>
        </is>
      </c>
      <c r="H671" t="n">
        <v>0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Cust 5782</t>
        </is>
      </c>
      <c r="P671" t="n">
        <v>47</v>
      </c>
      <c r="Q671" s="16" t="n">
        <v>45325</v>
      </c>
      <c r="R671" s="16" t="n">
        <v>45327</v>
      </c>
      <c r="S671" t="inlineStr">
        <is>
          <t>Ryan</t>
        </is>
      </c>
      <c r="T671" t="inlineStr">
        <is>
          <t>2024-02</t>
        </is>
      </c>
    </row>
    <row r="672">
      <c r="A672" s="16" t="n">
        <v>45620</v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B</t>
        </is>
      </c>
      <c r="G672" t="inlineStr">
        <is>
          <t>Retail</t>
        </is>
      </c>
      <c r="H672" t="n">
        <v>0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Cust 4090</t>
        </is>
      </c>
      <c r="P672" t="n">
        <v>23.74</v>
      </c>
      <c r="Q672" s="16" t="n">
        <v>45620</v>
      </c>
      <c r="R672" s="16" t="n">
        <v>45630</v>
      </c>
      <c r="S672" t="inlineStr">
        <is>
          <t>Cameron</t>
        </is>
      </c>
      <c r="T672" t="inlineStr">
        <is>
          <t>2024-11</t>
        </is>
      </c>
    </row>
    <row r="673">
      <c r="A673" s="16" t="n">
        <v>45357</v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D</t>
        </is>
      </c>
      <c r="G673" t="inlineStr">
        <is>
          <t>Wholesale</t>
        </is>
      </c>
      <c r="H673" t="n">
        <v>0.15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n">
        <v/>
      </c>
      <c r="M673" t="n">
        <v>0</v>
      </c>
      <c r="N673" t="inlineStr">
        <is>
          <t>REG100671</t>
        </is>
      </c>
      <c r="O673" t="inlineStr">
        <is>
          <t>Cust 4730</t>
        </is>
      </c>
      <c r="P673" t="n">
        <v>9.949999999999999</v>
      </c>
      <c r="Q673" s="16" t="n">
        <v>45357</v>
      </c>
      <c r="R673" s="16" t="n">
        <v>45362</v>
      </c>
      <c r="S673" t="inlineStr">
        <is>
          <t>Wendy</t>
        </is>
      </c>
      <c r="T673" t="inlineStr">
        <is>
          <t>2024-03</t>
        </is>
      </c>
    </row>
    <row r="674">
      <c r="A674" s="16" t="n">
        <v>45689</v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C</t>
        </is>
      </c>
      <c r="G674" t="inlineStr">
        <is>
          <t>Wholesale</t>
        </is>
      </c>
      <c r="H674" t="n">
        <v>0.15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n">
        <v/>
      </c>
      <c r="M674" t="n">
        <v>0</v>
      </c>
      <c r="N674" t="inlineStr">
        <is>
          <t>REG100672</t>
        </is>
      </c>
      <c r="O674" t="inlineStr">
        <is>
          <t>Cust 5648</t>
        </is>
      </c>
      <c r="P674" t="n">
        <v>21.06</v>
      </c>
      <c r="Q674" s="16" t="n">
        <v>45689</v>
      </c>
      <c r="R674" s="16" t="n">
        <v>45699</v>
      </c>
      <c r="S674" t="inlineStr">
        <is>
          <t>Sophie</t>
        </is>
      </c>
      <c r="T674" t="inlineStr">
        <is>
          <t>2025-02</t>
        </is>
      </c>
    </row>
    <row r="675">
      <c r="A675" s="16" t="n">
        <v>45447</v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B</t>
        </is>
      </c>
      <c r="G675" t="inlineStr">
        <is>
          <t>Wholesale</t>
        </is>
      </c>
      <c r="H675" t="n">
        <v>0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n">
        <v/>
      </c>
      <c r="M675" t="n">
        <v>0</v>
      </c>
      <c r="N675" t="inlineStr">
        <is>
          <t>REG100673</t>
        </is>
      </c>
      <c r="O675" t="inlineStr">
        <is>
          <t>Cust 8933</t>
        </is>
      </c>
      <c r="P675" t="n">
        <v>24.48</v>
      </c>
      <c r="Q675" s="16" t="n">
        <v>45447</v>
      </c>
      <c r="R675" s="16" t="n">
        <v>45452</v>
      </c>
      <c r="S675" t="inlineStr">
        <is>
          <t>Cameron</t>
        </is>
      </c>
      <c r="T675" t="inlineStr">
        <is>
          <t>2024-06</t>
        </is>
      </c>
    </row>
    <row r="676">
      <c r="A676" s="16" t="n">
        <v>45144</v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D</t>
        </is>
      </c>
      <c r="G676" t="inlineStr">
        <is>
          <t>Retail</t>
        </is>
      </c>
      <c r="H676" t="n">
        <v>0.05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n">
        <v/>
      </c>
      <c r="M676" t="n">
        <v>0</v>
      </c>
      <c r="N676" t="inlineStr">
        <is>
          <t>REG100674</t>
        </is>
      </c>
      <c r="O676" t="inlineStr">
        <is>
          <t>Cust 9280</t>
        </is>
      </c>
      <c r="P676" t="n">
        <v>33.4</v>
      </c>
      <c r="Q676" s="16" t="n">
        <v>45144</v>
      </c>
      <c r="R676" s="16" t="n">
        <v>45151</v>
      </c>
      <c r="S676" t="inlineStr">
        <is>
          <t>Cameron</t>
        </is>
      </c>
      <c r="T676" t="inlineStr">
        <is>
          <t>2023-08</t>
        </is>
      </c>
    </row>
    <row r="677">
      <c r="A677" s="16" t="n">
        <v>45107</v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D</t>
        </is>
      </c>
      <c r="G677" t="inlineStr">
        <is>
          <t>Wholesale</t>
        </is>
      </c>
      <c r="H677" t="n">
        <v>0.05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Cust 8696</t>
        </is>
      </c>
      <c r="P677" t="n">
        <v>47.77</v>
      </c>
      <c r="Q677" s="16" t="n">
        <v>45107</v>
      </c>
      <c r="R677" s="16" t="n">
        <v>45112</v>
      </c>
      <c r="S677" t="inlineStr">
        <is>
          <t>Wendy</t>
        </is>
      </c>
      <c r="T677" t="inlineStr">
        <is>
          <t>2023-06</t>
        </is>
      </c>
    </row>
    <row r="678">
      <c r="A678" s="16" t="n">
        <v>44972</v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A</t>
        </is>
      </c>
      <c r="G678" t="inlineStr">
        <is>
          <t>Retail</t>
        </is>
      </c>
      <c r="H678" t="n">
        <v>0.1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Cust 1944</t>
        </is>
      </c>
      <c r="P678" t="n">
        <v>17.43</v>
      </c>
      <c r="Q678" s="16" t="n">
        <v>44972</v>
      </c>
      <c r="R678" s="16" t="n">
        <v>44976</v>
      </c>
      <c r="S678" t="inlineStr">
        <is>
          <t>Wendy</t>
        </is>
      </c>
      <c r="T678" t="inlineStr">
        <is>
          <t>2023-02</t>
        </is>
      </c>
    </row>
    <row r="679">
      <c r="A679" s="16" t="n">
        <v>45314</v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A</t>
        </is>
      </c>
      <c r="G679" t="inlineStr">
        <is>
          <t>Wholesale</t>
        </is>
      </c>
      <c r="H679" t="n">
        <v>0.05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n">
        <v/>
      </c>
      <c r="M679" t="n">
        <v>0</v>
      </c>
      <c r="N679" t="inlineStr">
        <is>
          <t>REG100677</t>
        </is>
      </c>
      <c r="O679" t="inlineStr">
        <is>
          <t>Cust 7780</t>
        </is>
      </c>
      <c r="P679" t="n">
        <v>12.35</v>
      </c>
      <c r="Q679" s="16" t="n">
        <v>45314</v>
      </c>
      <c r="R679" s="16" t="n">
        <v>45321</v>
      </c>
      <c r="S679" t="inlineStr">
        <is>
          <t>Ryan</t>
        </is>
      </c>
      <c r="T679" t="inlineStr">
        <is>
          <t>2024-01</t>
        </is>
      </c>
    </row>
    <row r="680">
      <c r="A680" s="16" t="n">
        <v>45596</v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A</t>
        </is>
      </c>
      <c r="G680" t="inlineStr">
        <is>
          <t>Wholesale</t>
        </is>
      </c>
      <c r="H680" t="n">
        <v>0.15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Cust 8055</t>
        </is>
      </c>
      <c r="P680" t="n">
        <v>42.68</v>
      </c>
      <c r="Q680" s="16" t="n">
        <v>45596</v>
      </c>
      <c r="R680" s="16" t="n">
        <v>45602</v>
      </c>
      <c r="S680" t="inlineStr">
        <is>
          <t>Ryan</t>
        </is>
      </c>
      <c r="T680" t="inlineStr">
        <is>
          <t>2024-10</t>
        </is>
      </c>
    </row>
    <row r="681">
      <c r="A681" s="16" t="n">
        <v>45279</v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0.15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n">
        <v/>
      </c>
      <c r="M681" t="n">
        <v>0</v>
      </c>
      <c r="N681" t="inlineStr">
        <is>
          <t>REG100679</t>
        </is>
      </c>
      <c r="O681" t="inlineStr">
        <is>
          <t>Cust 4707</t>
        </is>
      </c>
      <c r="P681" t="n">
        <v>33.16</v>
      </c>
      <c r="Q681" s="16" t="n">
        <v>45279</v>
      </c>
      <c r="R681" s="16" t="n">
        <v>45281</v>
      </c>
      <c r="S681" t="inlineStr">
        <is>
          <t>Cameron</t>
        </is>
      </c>
      <c r="T681" t="inlineStr">
        <is>
          <t>2023-12</t>
        </is>
      </c>
    </row>
    <row r="682">
      <c r="A682" s="16" t="n">
        <v>45111</v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B</t>
        </is>
      </c>
      <c r="G682" t="inlineStr">
        <is>
          <t>Wholesale</t>
        </is>
      </c>
      <c r="H682" t="n">
        <v>0.05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Cust 8088</t>
        </is>
      </c>
      <c r="P682" t="n">
        <v>43.47</v>
      </c>
      <c r="Q682" s="16" t="n">
        <v>45111</v>
      </c>
      <c r="R682" s="16" t="n">
        <v>45113</v>
      </c>
      <c r="S682" t="inlineStr">
        <is>
          <t>Sophie</t>
        </is>
      </c>
      <c r="T682" t="inlineStr">
        <is>
          <t>2023-07</t>
        </is>
      </c>
    </row>
    <row r="683">
      <c r="A683" s="16" t="n">
        <v>45428</v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D</t>
        </is>
      </c>
      <c r="G683" t="inlineStr">
        <is>
          <t>Wholesale</t>
        </is>
      </c>
      <c r="H683" t="n">
        <v>0.15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Cust 7806</t>
        </is>
      </c>
      <c r="P683" t="n">
        <v>9.880000000000001</v>
      </c>
      <c r="Q683" s="16" t="n">
        <v>45428</v>
      </c>
      <c r="R683" s="16" t="n">
        <v>45430</v>
      </c>
      <c r="S683" t="inlineStr">
        <is>
          <t>Eric</t>
        </is>
      </c>
      <c r="T683" t="inlineStr">
        <is>
          <t>2024-05</t>
        </is>
      </c>
    </row>
    <row r="684">
      <c r="A684" s="16" t="n">
        <v>45185</v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C</t>
        </is>
      </c>
      <c r="G684" t="inlineStr">
        <is>
          <t>Retail</t>
        </is>
      </c>
      <c r="H684" t="n">
        <v>0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n">
        <v/>
      </c>
      <c r="M684" t="n">
        <v>0</v>
      </c>
      <c r="N684" t="inlineStr">
        <is>
          <t>REG100682</t>
        </is>
      </c>
      <c r="O684" t="inlineStr">
        <is>
          <t>Cust 7033</t>
        </is>
      </c>
      <c r="P684" t="n">
        <v>43.4</v>
      </c>
      <c r="Q684" s="16" t="n">
        <v>45185</v>
      </c>
      <c r="R684" s="16" t="n">
        <v>45190</v>
      </c>
      <c r="S684" t="inlineStr">
        <is>
          <t>Ryan</t>
        </is>
      </c>
      <c r="T684" t="inlineStr">
        <is>
          <t>2023-09</t>
        </is>
      </c>
    </row>
    <row r="685">
      <c r="A685" s="16" t="n">
        <v>45618</v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0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n">
        <v/>
      </c>
      <c r="M685" t="n">
        <v>0</v>
      </c>
      <c r="N685" t="inlineStr">
        <is>
          <t>REG100683</t>
        </is>
      </c>
      <c r="O685" t="inlineStr">
        <is>
          <t>Cust 8372</t>
        </is>
      </c>
      <c r="P685" t="n">
        <v>13.86</v>
      </c>
      <c r="Q685" s="16" t="n">
        <v>45618</v>
      </c>
      <c r="R685" s="16" t="n">
        <v>45627</v>
      </c>
      <c r="S685" t="inlineStr">
        <is>
          <t>Eric</t>
        </is>
      </c>
      <c r="T685" t="inlineStr">
        <is>
          <t>2024-11</t>
        </is>
      </c>
    </row>
    <row r="686">
      <c r="A686" s="16" t="n">
        <v>45395</v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A</t>
        </is>
      </c>
      <c r="G686" t="inlineStr">
        <is>
          <t>Retail</t>
        </is>
      </c>
      <c r="H686" t="n">
        <v>0.1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Cust 1935</t>
        </is>
      </c>
      <c r="P686" t="n">
        <v>23.3</v>
      </c>
      <c r="Q686" s="16" t="n">
        <v>45395</v>
      </c>
      <c r="R686" s="16" t="n">
        <v>45403</v>
      </c>
      <c r="S686" t="inlineStr">
        <is>
          <t>Wendy</t>
        </is>
      </c>
      <c r="T686" t="inlineStr">
        <is>
          <t>2024-04</t>
        </is>
      </c>
    </row>
    <row r="687">
      <c r="A687" s="16" t="n">
        <v>45473</v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D</t>
        </is>
      </c>
      <c r="G687" t="inlineStr">
        <is>
          <t>Retail</t>
        </is>
      </c>
      <c r="H687" t="n">
        <v>0.1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Cust 8417</t>
        </is>
      </c>
      <c r="P687" t="n">
        <v>27</v>
      </c>
      <c r="Q687" s="16" t="n">
        <v>45473</v>
      </c>
      <c r="R687" s="16" t="n">
        <v>45479</v>
      </c>
      <c r="S687" t="inlineStr">
        <is>
          <t>Sophie</t>
        </is>
      </c>
      <c r="T687" t="inlineStr">
        <is>
          <t>2024-06</t>
        </is>
      </c>
    </row>
    <row r="688">
      <c r="A688" s="16" t="n">
        <v>45533</v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C</t>
        </is>
      </c>
      <c r="G688" t="inlineStr">
        <is>
          <t>Retail</t>
        </is>
      </c>
      <c r="H688" t="n">
        <v>0.15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Cust 3370</t>
        </is>
      </c>
      <c r="P688" t="n">
        <v>42.63</v>
      </c>
      <c r="Q688" s="16" t="n">
        <v>45533</v>
      </c>
      <c r="R688" s="16" t="n">
        <v>45537</v>
      </c>
      <c r="S688" t="inlineStr">
        <is>
          <t>Ryan</t>
        </is>
      </c>
      <c r="T688" t="inlineStr">
        <is>
          <t>2024-08</t>
        </is>
      </c>
    </row>
    <row r="689">
      <c r="A689" s="16" t="n">
        <v>45286</v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B</t>
        </is>
      </c>
      <c r="G689" t="inlineStr">
        <is>
          <t>Retail</t>
        </is>
      </c>
      <c r="H689" t="n">
        <v>0.1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n">
        <v/>
      </c>
      <c r="M689" t="n">
        <v>1</v>
      </c>
      <c r="N689" t="inlineStr">
        <is>
          <t>REG100687</t>
        </is>
      </c>
      <c r="O689" t="inlineStr">
        <is>
          <t>Cust 3664</t>
        </is>
      </c>
      <c r="P689" t="n">
        <v>46.65</v>
      </c>
      <c r="Q689" s="16" t="n">
        <v>45286</v>
      </c>
      <c r="R689" s="16" t="n">
        <v>45291</v>
      </c>
      <c r="S689" t="inlineStr">
        <is>
          <t>Cameron</t>
        </is>
      </c>
      <c r="T689" t="inlineStr">
        <is>
          <t>2023-12</t>
        </is>
      </c>
    </row>
    <row r="690">
      <c r="A690" s="16" t="n">
        <v>45687</v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A</t>
        </is>
      </c>
      <c r="G690" t="inlineStr">
        <is>
          <t>Retail</t>
        </is>
      </c>
      <c r="H690" t="n">
        <v>0.1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Cust 5760</t>
        </is>
      </c>
      <c r="P690" t="n">
        <v>26.74</v>
      </c>
      <c r="Q690" s="16" t="n">
        <v>45687</v>
      </c>
      <c r="R690" s="16" t="n">
        <v>45694</v>
      </c>
      <c r="S690" t="inlineStr">
        <is>
          <t>Ryan</t>
        </is>
      </c>
      <c r="T690" t="inlineStr">
        <is>
          <t>2025-01</t>
        </is>
      </c>
    </row>
    <row r="691">
      <c r="A691" s="16" t="n">
        <v>45063</v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B</t>
        </is>
      </c>
      <c r="G691" t="inlineStr">
        <is>
          <t>Retail</t>
        </is>
      </c>
      <c r="H691" t="n">
        <v>0.15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Cust 3037</t>
        </is>
      </c>
      <c r="P691" t="n">
        <v>19.89</v>
      </c>
      <c r="Q691" s="16" t="n">
        <v>45063</v>
      </c>
      <c r="R691" s="16" t="n">
        <v>45071</v>
      </c>
      <c r="S691" t="inlineStr">
        <is>
          <t>Sophie</t>
        </is>
      </c>
      <c r="T691" t="inlineStr">
        <is>
          <t>2023-05</t>
        </is>
      </c>
    </row>
    <row r="692">
      <c r="A692" s="16" t="n">
        <v>45318</v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A</t>
        </is>
      </c>
      <c r="G692" t="inlineStr">
        <is>
          <t>Wholesale</t>
        </is>
      </c>
      <c r="H692" t="n">
        <v>0.1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n">
        <v/>
      </c>
      <c r="M692" t="n">
        <v>1</v>
      </c>
      <c r="N692" t="inlineStr">
        <is>
          <t>REG100690</t>
        </is>
      </c>
      <c r="O692" t="inlineStr">
        <is>
          <t>Cust 9828</t>
        </is>
      </c>
      <c r="P692" t="n">
        <v>48.9</v>
      </c>
      <c r="Q692" s="16" t="n">
        <v>45318</v>
      </c>
      <c r="R692" s="16" t="n">
        <v>45327</v>
      </c>
      <c r="S692" t="inlineStr">
        <is>
          <t>Cameron</t>
        </is>
      </c>
      <c r="T692" t="inlineStr">
        <is>
          <t>2024-01</t>
        </is>
      </c>
    </row>
    <row r="693">
      <c r="A693" s="16" t="n">
        <v>45803</v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D</t>
        </is>
      </c>
      <c r="G693" t="inlineStr">
        <is>
          <t>Retail</t>
        </is>
      </c>
      <c r="H693" t="n">
        <v>0.1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Cust 5297</t>
        </is>
      </c>
      <c r="P693" t="n">
        <v>49.67</v>
      </c>
      <c r="Q693" s="16" t="n">
        <v>45803</v>
      </c>
      <c r="R693" s="16" t="n">
        <v>45810</v>
      </c>
      <c r="S693" t="inlineStr">
        <is>
          <t>Eric</t>
        </is>
      </c>
      <c r="T693" t="inlineStr">
        <is>
          <t>2025-05</t>
        </is>
      </c>
    </row>
    <row r="694">
      <c r="A694" s="16" t="n">
        <v>45725</v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D</t>
        </is>
      </c>
      <c r="G694" t="inlineStr">
        <is>
          <t>Wholesale</t>
        </is>
      </c>
      <c r="H694" t="n">
        <v>0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n">
        <v/>
      </c>
      <c r="M694" t="n">
        <v>0</v>
      </c>
      <c r="N694" t="inlineStr">
        <is>
          <t>REG100692</t>
        </is>
      </c>
      <c r="O694" t="inlineStr">
        <is>
          <t>Cust 6785</t>
        </is>
      </c>
      <c r="P694" t="n">
        <v>17.9</v>
      </c>
      <c r="Q694" s="16" t="n">
        <v>45725</v>
      </c>
      <c r="R694" s="16" t="n">
        <v>45733</v>
      </c>
      <c r="S694" t="inlineStr">
        <is>
          <t>Ryan</t>
        </is>
      </c>
      <c r="T694" t="inlineStr">
        <is>
          <t>2025-03</t>
        </is>
      </c>
    </row>
    <row r="695">
      <c r="A695" s="16" t="n">
        <v>45344</v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B</t>
        </is>
      </c>
      <c r="G695" t="inlineStr">
        <is>
          <t>Retail</t>
        </is>
      </c>
      <c r="H695" t="n">
        <v>0.15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Cust 1344</t>
        </is>
      </c>
      <c r="P695" t="n">
        <v>30.58</v>
      </c>
      <c r="Q695" s="16" t="n">
        <v>45344</v>
      </c>
      <c r="R695" s="16" t="n">
        <v>45354</v>
      </c>
      <c r="S695" t="inlineStr">
        <is>
          <t>Wendy</t>
        </is>
      </c>
      <c r="T695" t="inlineStr">
        <is>
          <t>2024-02</t>
        </is>
      </c>
    </row>
    <row r="696">
      <c r="A696" s="16" t="n">
        <v>45691</v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C</t>
        </is>
      </c>
      <c r="G696" t="inlineStr">
        <is>
          <t>Retail</t>
        </is>
      </c>
      <c r="H696" t="n">
        <v>0.15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Cust 4023</t>
        </is>
      </c>
      <c r="P696" t="n">
        <v>44.91</v>
      </c>
      <c r="Q696" s="16" t="n">
        <v>45691</v>
      </c>
      <c r="R696" s="16" t="n">
        <v>45696</v>
      </c>
      <c r="S696" t="inlineStr">
        <is>
          <t>Eric</t>
        </is>
      </c>
      <c r="T696" t="inlineStr">
        <is>
          <t>2025-02</t>
        </is>
      </c>
    </row>
    <row r="697">
      <c r="A697" s="16" t="n">
        <v>45300</v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0.05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Cust 3721</t>
        </is>
      </c>
      <c r="P697" t="n">
        <v>18.92</v>
      </c>
      <c r="Q697" s="16" t="n">
        <v>45300</v>
      </c>
      <c r="R697" s="16" t="n">
        <v>45307</v>
      </c>
      <c r="S697" t="inlineStr">
        <is>
          <t>Cameron</t>
        </is>
      </c>
      <c r="T697" t="inlineStr">
        <is>
          <t>2024-01</t>
        </is>
      </c>
    </row>
    <row r="698">
      <c r="A698" s="16" t="n">
        <v>45782</v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A</t>
        </is>
      </c>
      <c r="G698" t="inlineStr">
        <is>
          <t>Wholesale</t>
        </is>
      </c>
      <c r="H698" t="n">
        <v>0.05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n">
        <v/>
      </c>
      <c r="M698" t="n">
        <v>0</v>
      </c>
      <c r="N698" t="inlineStr">
        <is>
          <t>REG100696</t>
        </is>
      </c>
      <c r="O698" t="inlineStr">
        <is>
          <t>Cust 1486</t>
        </is>
      </c>
      <c r="P698" t="n">
        <v>34.26</v>
      </c>
      <c r="Q698" s="16" t="n">
        <v>45782</v>
      </c>
      <c r="R698" s="16" t="n">
        <v>45791</v>
      </c>
      <c r="S698" t="inlineStr">
        <is>
          <t>Ryan</t>
        </is>
      </c>
      <c r="T698" t="inlineStr">
        <is>
          <t>2025-05</t>
        </is>
      </c>
    </row>
    <row r="699">
      <c r="A699" s="16" t="n">
        <v>45033</v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A</t>
        </is>
      </c>
      <c r="G699" t="inlineStr">
        <is>
          <t>Retail</t>
        </is>
      </c>
      <c r="H699" t="n">
        <v>0.1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n">
        <v/>
      </c>
      <c r="M699" t="n">
        <v>0</v>
      </c>
      <c r="N699" t="inlineStr">
        <is>
          <t>REG100697</t>
        </is>
      </c>
      <c r="O699" t="inlineStr">
        <is>
          <t>Cust 3958</t>
        </is>
      </c>
      <c r="P699" t="n">
        <v>24.68</v>
      </c>
      <c r="Q699" s="16" t="n">
        <v>45033</v>
      </c>
      <c r="R699" s="16" t="n">
        <v>45037</v>
      </c>
      <c r="S699" t="inlineStr">
        <is>
          <t>Cameron</t>
        </is>
      </c>
      <c r="T699" t="inlineStr">
        <is>
          <t>2023-04</t>
        </is>
      </c>
    </row>
    <row r="700">
      <c r="A700" s="16" t="n">
        <v>45459</v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C</t>
        </is>
      </c>
      <c r="G700" t="inlineStr">
        <is>
          <t>Wholesale</t>
        </is>
      </c>
      <c r="H700" t="n">
        <v>0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Cust 6914</t>
        </is>
      </c>
      <c r="P700" t="n">
        <v>31.28</v>
      </c>
      <c r="Q700" s="16" t="n">
        <v>45459</v>
      </c>
      <c r="R700" s="16" t="n">
        <v>45464</v>
      </c>
      <c r="S700" t="inlineStr">
        <is>
          <t>Sophie</t>
        </is>
      </c>
      <c r="T700" t="inlineStr">
        <is>
          <t>2024-06</t>
        </is>
      </c>
    </row>
    <row r="701">
      <c r="A701" s="16" t="n">
        <v>45597</v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C</t>
        </is>
      </c>
      <c r="G701" t="inlineStr">
        <is>
          <t>Wholesale</t>
        </is>
      </c>
      <c r="H701" t="n">
        <v>0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Cust 3287</t>
        </is>
      </c>
      <c r="P701" t="n">
        <v>14.9</v>
      </c>
      <c r="Q701" s="16" t="n">
        <v>45597</v>
      </c>
      <c r="R701" s="16" t="n">
        <v>45600</v>
      </c>
      <c r="S701" t="inlineStr">
        <is>
          <t>Sophie</t>
        </is>
      </c>
      <c r="T701" t="inlineStr">
        <is>
          <t>2024-11</t>
        </is>
      </c>
    </row>
    <row r="702">
      <c r="A702" s="16" t="n">
        <v>45695</v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C</t>
        </is>
      </c>
      <c r="G702" t="inlineStr">
        <is>
          <t>Retail</t>
        </is>
      </c>
      <c r="H702" t="n">
        <v>0.15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Cust 9072</t>
        </is>
      </c>
      <c r="P702" t="n">
        <v>27.05</v>
      </c>
      <c r="Q702" s="16" t="n">
        <v>45695</v>
      </c>
      <c r="R702" s="16" t="n">
        <v>45698</v>
      </c>
      <c r="S702" t="inlineStr">
        <is>
          <t>Eric</t>
        </is>
      </c>
      <c r="T702" t="inlineStr">
        <is>
          <t>2025-02</t>
        </is>
      </c>
    </row>
    <row r="703">
      <c r="A703" s="16" t="n">
        <v>45620</v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D</t>
        </is>
      </c>
      <c r="G703" t="inlineStr">
        <is>
          <t>Retail</t>
        </is>
      </c>
      <c r="H703" t="n">
        <v>0.15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n">
        <v/>
      </c>
      <c r="M703" t="n">
        <v>0</v>
      </c>
      <c r="N703" t="inlineStr">
        <is>
          <t>REG100701</t>
        </is>
      </c>
      <c r="O703" t="inlineStr">
        <is>
          <t>Cust 3098</t>
        </is>
      </c>
      <c r="P703" t="n">
        <v>21.23</v>
      </c>
      <c r="Q703" s="16" t="n">
        <v>45620</v>
      </c>
      <c r="R703" s="16" t="n">
        <v>45630</v>
      </c>
      <c r="S703" t="inlineStr">
        <is>
          <t>Sophie</t>
        </is>
      </c>
      <c r="T703" t="inlineStr">
        <is>
          <t>2024-11</t>
        </is>
      </c>
    </row>
    <row r="704">
      <c r="A704" s="16" t="n">
        <v>45405</v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0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n">
        <v/>
      </c>
      <c r="M704" t="n">
        <v>1</v>
      </c>
      <c r="N704" t="inlineStr">
        <is>
          <t>REG100702</t>
        </is>
      </c>
      <c r="O704" t="inlineStr">
        <is>
          <t>Cust 7942</t>
        </is>
      </c>
      <c r="P704" t="n">
        <v>12.23</v>
      </c>
      <c r="Q704" s="16" t="n">
        <v>45405</v>
      </c>
      <c r="R704" s="16" t="n">
        <v>45414</v>
      </c>
      <c r="S704" t="inlineStr">
        <is>
          <t>Cameron</t>
        </is>
      </c>
      <c r="T704" t="inlineStr">
        <is>
          <t>2024-04</t>
        </is>
      </c>
    </row>
    <row r="705">
      <c r="A705" s="16" t="n">
        <v>45467</v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D</t>
        </is>
      </c>
      <c r="G705" t="inlineStr">
        <is>
          <t>Wholesale</t>
        </is>
      </c>
      <c r="H705" t="n">
        <v>0.05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Cust 4307</t>
        </is>
      </c>
      <c r="P705" t="n">
        <v>40.18</v>
      </c>
      <c r="Q705" s="16" t="n">
        <v>45467</v>
      </c>
      <c r="R705" s="16" t="n">
        <v>45470</v>
      </c>
      <c r="S705" t="inlineStr">
        <is>
          <t>Eric</t>
        </is>
      </c>
      <c r="T705" t="inlineStr">
        <is>
          <t>2024-06</t>
        </is>
      </c>
    </row>
    <row r="706">
      <c r="A706" s="16" t="n">
        <v>45809</v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B</t>
        </is>
      </c>
      <c r="G706" t="inlineStr">
        <is>
          <t>Retail</t>
        </is>
      </c>
      <c r="H706" t="n">
        <v>0.1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Cust 4618</t>
        </is>
      </c>
      <c r="P706" t="n">
        <v>5.55</v>
      </c>
      <c r="Q706" s="16" t="n">
        <v>45809</v>
      </c>
      <c r="R706" s="16" t="n">
        <v>45815</v>
      </c>
      <c r="S706" t="inlineStr">
        <is>
          <t>Wendy</t>
        </is>
      </c>
      <c r="T706" t="inlineStr">
        <is>
          <t>2025-06</t>
        </is>
      </c>
    </row>
    <row r="707">
      <c r="A707" s="16" t="n">
        <v>44997</v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B</t>
        </is>
      </c>
      <c r="G707" t="inlineStr">
        <is>
          <t>Wholesale</t>
        </is>
      </c>
      <c r="H707" t="n">
        <v>0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n">
        <v/>
      </c>
      <c r="M707" t="n">
        <v>0</v>
      </c>
      <c r="N707" t="inlineStr">
        <is>
          <t>REG100705</t>
        </is>
      </c>
      <c r="O707" t="inlineStr">
        <is>
          <t>Cust 5322</t>
        </is>
      </c>
      <c r="P707" t="n">
        <v>16.98</v>
      </c>
      <c r="Q707" s="16" t="n">
        <v>44997</v>
      </c>
      <c r="R707" s="16" t="n">
        <v>44999</v>
      </c>
      <c r="S707" t="inlineStr">
        <is>
          <t>Wendy</t>
        </is>
      </c>
      <c r="T707" t="inlineStr">
        <is>
          <t>2023-03</t>
        </is>
      </c>
    </row>
    <row r="708">
      <c r="A708" s="16" t="n">
        <v>45607</v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C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Cust 9873</t>
        </is>
      </c>
      <c r="P708" t="n">
        <v>28.96</v>
      </c>
      <c r="Q708" s="16" t="n">
        <v>45607</v>
      </c>
      <c r="R708" s="16" t="n">
        <v>45615</v>
      </c>
      <c r="S708" t="inlineStr">
        <is>
          <t>Cameron</t>
        </is>
      </c>
      <c r="T708" t="inlineStr">
        <is>
          <t>2024-11</t>
        </is>
      </c>
    </row>
    <row r="709">
      <c r="A709" s="16" t="n">
        <v>45582</v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C</t>
        </is>
      </c>
      <c r="G709" t="inlineStr">
        <is>
          <t>Retail</t>
        </is>
      </c>
      <c r="H709" t="n">
        <v>0.1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Cust 3652</t>
        </is>
      </c>
      <c r="P709" t="n">
        <v>46.16</v>
      </c>
      <c r="Q709" s="16" t="n">
        <v>45582</v>
      </c>
      <c r="R709" s="16" t="n">
        <v>45591</v>
      </c>
      <c r="S709" t="inlineStr">
        <is>
          <t>Cameron</t>
        </is>
      </c>
      <c r="T709" t="inlineStr">
        <is>
          <t>2024-10</t>
        </is>
      </c>
    </row>
    <row r="710">
      <c r="A710" s="16" t="n">
        <v>45056</v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0.05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Cust 5569</t>
        </is>
      </c>
      <c r="P710" t="n">
        <v>39.25</v>
      </c>
      <c r="Q710" s="16" t="n">
        <v>45056</v>
      </c>
      <c r="R710" s="16" t="n">
        <v>45059</v>
      </c>
      <c r="S710" t="inlineStr">
        <is>
          <t>Eric</t>
        </is>
      </c>
      <c r="T710" t="inlineStr">
        <is>
          <t>2023-05</t>
        </is>
      </c>
    </row>
    <row r="711">
      <c r="A711" s="16" t="n">
        <v>45136</v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0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Cust 5369</t>
        </is>
      </c>
      <c r="P711" t="n">
        <v>26.97</v>
      </c>
      <c r="Q711" s="16" t="n">
        <v>45136</v>
      </c>
      <c r="R711" s="16" t="n">
        <v>45145</v>
      </c>
      <c r="S711" t="inlineStr">
        <is>
          <t>Eric</t>
        </is>
      </c>
      <c r="T711" t="inlineStr">
        <is>
          <t>2023-07</t>
        </is>
      </c>
    </row>
    <row r="712">
      <c r="A712" s="16" t="n">
        <v>45164</v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C</t>
        </is>
      </c>
      <c r="G712" t="inlineStr">
        <is>
          <t>Retail</t>
        </is>
      </c>
      <c r="H712" t="n">
        <v>0.15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Cust 9044</t>
        </is>
      </c>
      <c r="P712" t="n">
        <v>25.24</v>
      </c>
      <c r="Q712" s="16" t="n">
        <v>45164</v>
      </c>
      <c r="R712" s="16" t="n">
        <v>45167</v>
      </c>
      <c r="S712" t="inlineStr">
        <is>
          <t>Cameron</t>
        </is>
      </c>
      <c r="T712" t="inlineStr">
        <is>
          <t>2023-08</t>
        </is>
      </c>
    </row>
    <row r="713">
      <c r="A713" s="16" t="n">
        <v>45288</v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A</t>
        </is>
      </c>
      <c r="G713" t="inlineStr">
        <is>
          <t>Retail</t>
        </is>
      </c>
      <c r="H713" t="n">
        <v>0.05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Cust 1887</t>
        </is>
      </c>
      <c r="P713" t="n">
        <v>41.67</v>
      </c>
      <c r="Q713" s="16" t="n">
        <v>45288</v>
      </c>
      <c r="R713" s="16" t="n">
        <v>45294</v>
      </c>
      <c r="S713" t="inlineStr">
        <is>
          <t>Eric</t>
        </is>
      </c>
      <c r="T713" t="inlineStr">
        <is>
          <t>2023-12</t>
        </is>
      </c>
    </row>
    <row r="714">
      <c r="A714" s="16" t="n">
        <v>45726</v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D</t>
        </is>
      </c>
      <c r="G714" t="inlineStr">
        <is>
          <t>Retail</t>
        </is>
      </c>
      <c r="H714" t="n">
        <v>0.15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Cust 1559</t>
        </is>
      </c>
      <c r="P714" t="n">
        <v>22.08</v>
      </c>
      <c r="Q714" s="16" t="n">
        <v>45726</v>
      </c>
      <c r="R714" s="16" t="n">
        <v>45733</v>
      </c>
      <c r="S714" t="inlineStr">
        <is>
          <t>Ryan</t>
        </is>
      </c>
      <c r="T714" t="inlineStr">
        <is>
          <t>2025-03</t>
        </is>
      </c>
    </row>
    <row r="715">
      <c r="A715" s="16" t="n">
        <v>45178</v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0.15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Cust 1722</t>
        </is>
      </c>
      <c r="P715" t="n">
        <v>37.84</v>
      </c>
      <c r="Q715" s="16" t="n">
        <v>45178</v>
      </c>
      <c r="R715" s="16" t="n">
        <v>45183</v>
      </c>
      <c r="S715" t="inlineStr">
        <is>
          <t>Cameron</t>
        </is>
      </c>
      <c r="T715" t="inlineStr">
        <is>
          <t>2023-09</t>
        </is>
      </c>
    </row>
    <row r="716">
      <c r="A716" s="16" t="n">
        <v>45074</v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C</t>
        </is>
      </c>
      <c r="G716" t="inlineStr">
        <is>
          <t>Retail</t>
        </is>
      </c>
      <c r="H716" t="n">
        <v>0.1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n">
        <v/>
      </c>
      <c r="M716" t="n">
        <v>0</v>
      </c>
      <c r="N716" t="inlineStr">
        <is>
          <t>REG100714</t>
        </is>
      </c>
      <c r="O716" t="inlineStr">
        <is>
          <t>Cust 9029</t>
        </is>
      </c>
      <c r="P716" t="n">
        <v>9.050000000000001</v>
      </c>
      <c r="Q716" s="16" t="n">
        <v>45074</v>
      </c>
      <c r="R716" s="16" t="n">
        <v>45078</v>
      </c>
      <c r="S716" t="inlineStr">
        <is>
          <t>Ryan</t>
        </is>
      </c>
      <c r="T716" t="inlineStr">
        <is>
          <t>2023-05</t>
        </is>
      </c>
    </row>
    <row r="717">
      <c r="A717" s="16" t="n">
        <v>45798</v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C</t>
        </is>
      </c>
      <c r="G717" t="inlineStr">
        <is>
          <t>Wholesale</t>
        </is>
      </c>
      <c r="H717" t="n">
        <v>0.15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Cust 9555</t>
        </is>
      </c>
      <c r="P717" t="n">
        <v>18.1</v>
      </c>
      <c r="Q717" s="16" t="n">
        <v>45798</v>
      </c>
      <c r="R717" s="16" t="n">
        <v>45808</v>
      </c>
      <c r="S717" t="inlineStr">
        <is>
          <t>Wendy</t>
        </is>
      </c>
      <c r="T717" t="inlineStr">
        <is>
          <t>2025-05</t>
        </is>
      </c>
    </row>
    <row r="718">
      <c r="A718" s="16" t="n">
        <v>45199</v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0.05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n">
        <v/>
      </c>
      <c r="M718" t="n">
        <v>1</v>
      </c>
      <c r="N718" t="inlineStr">
        <is>
          <t>REG100716</t>
        </is>
      </c>
      <c r="O718" t="inlineStr">
        <is>
          <t>Cust 2484</t>
        </is>
      </c>
      <c r="P718" t="n">
        <v>13.24</v>
      </c>
      <c r="Q718" s="16" t="n">
        <v>45199</v>
      </c>
      <c r="R718" s="16" t="n">
        <v>45203</v>
      </c>
      <c r="S718" t="inlineStr">
        <is>
          <t>Eric</t>
        </is>
      </c>
      <c r="T718" t="inlineStr">
        <is>
          <t>2023-09</t>
        </is>
      </c>
    </row>
    <row r="719">
      <c r="A719" s="16" t="n">
        <v>45573</v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0.1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n">
        <v/>
      </c>
      <c r="M719" t="n">
        <v>0</v>
      </c>
      <c r="N719" t="inlineStr">
        <is>
          <t>REG100717</t>
        </is>
      </c>
      <c r="O719" t="inlineStr">
        <is>
          <t>Cust 4763</t>
        </is>
      </c>
      <c r="P719" t="n">
        <v>6.11</v>
      </c>
      <c r="Q719" s="16" t="n">
        <v>45573</v>
      </c>
      <c r="R719" s="16" t="n">
        <v>45578</v>
      </c>
      <c r="S719" t="inlineStr">
        <is>
          <t>Sophie</t>
        </is>
      </c>
      <c r="T719" t="inlineStr">
        <is>
          <t>2024-10</t>
        </is>
      </c>
    </row>
    <row r="720">
      <c r="A720" s="16" t="n">
        <v>45030</v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B</t>
        </is>
      </c>
      <c r="G720" t="inlineStr">
        <is>
          <t>Retail</t>
        </is>
      </c>
      <c r="H720" t="n">
        <v>0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Cust 5016</t>
        </is>
      </c>
      <c r="P720" t="n">
        <v>48.48</v>
      </c>
      <c r="Q720" s="16" t="n">
        <v>45030</v>
      </c>
      <c r="R720" s="16" t="n">
        <v>45039</v>
      </c>
      <c r="S720" t="inlineStr">
        <is>
          <t>Eric</t>
        </is>
      </c>
      <c r="T720" t="inlineStr">
        <is>
          <t>2023-04</t>
        </is>
      </c>
    </row>
    <row r="721">
      <c r="A721" s="16" t="n">
        <v>44990</v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C</t>
        </is>
      </c>
      <c r="G721" t="inlineStr">
        <is>
          <t>Retail</t>
        </is>
      </c>
      <c r="H721" t="n">
        <v>0.1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Cust 5528</t>
        </is>
      </c>
      <c r="P721" t="n">
        <v>7.76</v>
      </c>
      <c r="Q721" s="16" t="n">
        <v>44990</v>
      </c>
      <c r="R721" s="16" t="n">
        <v>44995</v>
      </c>
      <c r="S721" t="inlineStr">
        <is>
          <t>Sophie</t>
        </is>
      </c>
      <c r="T721" t="inlineStr">
        <is>
          <t>2023-03</t>
        </is>
      </c>
    </row>
    <row r="722">
      <c r="A722" s="16" t="n">
        <v>45490</v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B</t>
        </is>
      </c>
      <c r="G722" t="inlineStr">
        <is>
          <t>Wholesale</t>
        </is>
      </c>
      <c r="H722" t="n">
        <v>0.05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Cust 6922</t>
        </is>
      </c>
      <c r="P722" t="n">
        <v>30.3</v>
      </c>
      <c r="Q722" s="16" t="n">
        <v>45490</v>
      </c>
      <c r="R722" s="16" t="n">
        <v>45493</v>
      </c>
      <c r="S722" t="inlineStr">
        <is>
          <t>Ryan</t>
        </is>
      </c>
      <c r="T722" t="inlineStr">
        <is>
          <t>2024-07</t>
        </is>
      </c>
    </row>
    <row r="723">
      <c r="A723" s="16" t="n">
        <v>45432</v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A</t>
        </is>
      </c>
      <c r="G723" t="inlineStr">
        <is>
          <t>Retail</t>
        </is>
      </c>
      <c r="H723" t="n">
        <v>0.1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n">
        <v/>
      </c>
      <c r="M723" t="n">
        <v>0</v>
      </c>
      <c r="N723" t="inlineStr">
        <is>
          <t>REG100721</t>
        </is>
      </c>
      <c r="O723" t="inlineStr">
        <is>
          <t>Cust 4807</t>
        </is>
      </c>
      <c r="P723" t="n">
        <v>18.72</v>
      </c>
      <c r="Q723" s="16" t="n">
        <v>45432</v>
      </c>
      <c r="R723" s="16" t="n">
        <v>45441</v>
      </c>
      <c r="S723" t="inlineStr">
        <is>
          <t>Ryan</t>
        </is>
      </c>
      <c r="T723" t="inlineStr">
        <is>
          <t>2024-05</t>
        </is>
      </c>
    </row>
    <row r="724">
      <c r="A724" s="16" t="n">
        <v>45783</v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0.1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Cust 3368</t>
        </is>
      </c>
      <c r="P724" t="n">
        <v>36.87</v>
      </c>
      <c r="Q724" s="16" t="n">
        <v>45783</v>
      </c>
      <c r="R724" s="16" t="n">
        <v>45787</v>
      </c>
      <c r="S724" t="inlineStr">
        <is>
          <t>Ryan</t>
        </is>
      </c>
      <c r="T724" t="inlineStr">
        <is>
          <t>2025-05</t>
        </is>
      </c>
    </row>
    <row r="725">
      <c r="A725" s="16" t="n">
        <v>44941</v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B</t>
        </is>
      </c>
      <c r="G725" t="inlineStr">
        <is>
          <t>Wholesale</t>
        </is>
      </c>
      <c r="H725" t="n">
        <v>0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Cust 2871</t>
        </is>
      </c>
      <c r="P725" t="n">
        <v>29.31</v>
      </c>
      <c r="Q725" s="16" t="n">
        <v>44941</v>
      </c>
      <c r="R725" s="16" t="n">
        <v>44943</v>
      </c>
      <c r="S725" t="inlineStr">
        <is>
          <t>Ryan</t>
        </is>
      </c>
      <c r="T725" t="inlineStr">
        <is>
          <t>2023-01</t>
        </is>
      </c>
    </row>
    <row r="726">
      <c r="A726" s="16" t="n">
        <v>45300</v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0.1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Cust 6229</t>
        </is>
      </c>
      <c r="P726" t="n">
        <v>48.73</v>
      </c>
      <c r="Q726" s="16" t="n">
        <v>45300</v>
      </c>
      <c r="R726" s="16" t="n">
        <v>45303</v>
      </c>
      <c r="S726" t="inlineStr">
        <is>
          <t>Cameron</t>
        </is>
      </c>
      <c r="T726" t="inlineStr">
        <is>
          <t>2024-01</t>
        </is>
      </c>
    </row>
    <row r="727">
      <c r="A727" s="16" t="n">
        <v>45119</v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B</t>
        </is>
      </c>
      <c r="G727" t="inlineStr">
        <is>
          <t>Retail</t>
        </is>
      </c>
      <c r="H727" t="n">
        <v>0.15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Cust 4560</t>
        </is>
      </c>
      <c r="P727" t="n">
        <v>47.14</v>
      </c>
      <c r="Q727" s="16" t="n">
        <v>45119</v>
      </c>
      <c r="R727" s="16" t="n">
        <v>45128</v>
      </c>
      <c r="S727" t="inlineStr">
        <is>
          <t>Sophie</t>
        </is>
      </c>
      <c r="T727" t="inlineStr">
        <is>
          <t>2023-07</t>
        </is>
      </c>
    </row>
    <row r="728">
      <c r="A728" s="16" t="n">
        <v>45829</v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B</t>
        </is>
      </c>
      <c r="G728" t="inlineStr">
        <is>
          <t>Retail</t>
        </is>
      </c>
      <c r="H728" t="n">
        <v>0.05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Cust 7099</t>
        </is>
      </c>
      <c r="P728" t="n">
        <v>41.39</v>
      </c>
      <c r="Q728" s="16" t="n">
        <v>45829</v>
      </c>
      <c r="R728" s="16" t="n">
        <v>45834</v>
      </c>
      <c r="S728" t="inlineStr">
        <is>
          <t>Eric</t>
        </is>
      </c>
      <c r="T728" t="inlineStr">
        <is>
          <t>2025-06</t>
        </is>
      </c>
    </row>
    <row r="729">
      <c r="A729" s="16" t="n">
        <v>45655</v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0.1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Cust 6333</t>
        </is>
      </c>
      <c r="P729" t="n">
        <v>27.1</v>
      </c>
      <c r="Q729" s="16" t="n">
        <v>45655</v>
      </c>
      <c r="R729" s="16" t="n">
        <v>45659</v>
      </c>
      <c r="S729" t="inlineStr">
        <is>
          <t>Ryan</t>
        </is>
      </c>
      <c r="T729" t="inlineStr">
        <is>
          <t>2024-12</t>
        </is>
      </c>
    </row>
    <row r="730">
      <c r="A730" s="16" t="n">
        <v>45069</v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D</t>
        </is>
      </c>
      <c r="G730" t="inlineStr">
        <is>
          <t>Retail</t>
        </is>
      </c>
      <c r="H730" t="n">
        <v>0.05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n">
        <v/>
      </c>
      <c r="M730" t="n">
        <v>0</v>
      </c>
      <c r="N730" t="inlineStr">
        <is>
          <t>REG100728</t>
        </is>
      </c>
      <c r="O730" t="inlineStr">
        <is>
          <t>Cust 4678</t>
        </is>
      </c>
      <c r="P730" t="n">
        <v>22.73</v>
      </c>
      <c r="Q730" s="16" t="n">
        <v>45069</v>
      </c>
      <c r="R730" s="16" t="n">
        <v>45075</v>
      </c>
      <c r="S730" t="inlineStr">
        <is>
          <t>Wendy</t>
        </is>
      </c>
      <c r="T730" t="inlineStr">
        <is>
          <t>2023-05</t>
        </is>
      </c>
    </row>
    <row r="731">
      <c r="A731" s="16" t="n">
        <v>45385</v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A</t>
        </is>
      </c>
      <c r="G731" t="inlineStr">
        <is>
          <t>Retail</t>
        </is>
      </c>
      <c r="H731" t="n">
        <v>0.1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Cust 6657</t>
        </is>
      </c>
      <c r="P731" t="n">
        <v>29.06</v>
      </c>
      <c r="Q731" s="16" t="n">
        <v>45385</v>
      </c>
      <c r="R731" s="16" t="n">
        <v>45391</v>
      </c>
      <c r="S731" t="inlineStr">
        <is>
          <t>Cameron</t>
        </is>
      </c>
      <c r="T731" t="inlineStr">
        <is>
          <t>2024-04</t>
        </is>
      </c>
    </row>
    <row r="732">
      <c r="A732" s="16" t="n">
        <v>45308</v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C</t>
        </is>
      </c>
      <c r="G732" t="inlineStr">
        <is>
          <t>Wholesale</t>
        </is>
      </c>
      <c r="H732" t="n">
        <v>0.1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Cust 1267</t>
        </is>
      </c>
      <c r="P732" t="n">
        <v>19.91</v>
      </c>
      <c r="Q732" s="16" t="n">
        <v>45308</v>
      </c>
      <c r="R732" s="16" t="n">
        <v>45318</v>
      </c>
      <c r="S732" t="inlineStr">
        <is>
          <t>Eric</t>
        </is>
      </c>
      <c r="T732" t="inlineStr">
        <is>
          <t>2024-01</t>
        </is>
      </c>
    </row>
    <row r="733">
      <c r="A733" s="16" t="n">
        <v>45752</v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B</t>
        </is>
      </c>
      <c r="G733" t="inlineStr">
        <is>
          <t>Retail</t>
        </is>
      </c>
      <c r="H733" t="n">
        <v>0.1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n">
        <v/>
      </c>
      <c r="M733" t="n">
        <v>1</v>
      </c>
      <c r="N733" t="inlineStr">
        <is>
          <t>REG100731</t>
        </is>
      </c>
      <c r="O733" t="inlineStr">
        <is>
          <t>Cust 8150</t>
        </is>
      </c>
      <c r="P733" t="n">
        <v>32.66</v>
      </c>
      <c r="Q733" s="16" t="n">
        <v>45752</v>
      </c>
      <c r="R733" s="16" t="n">
        <v>45761</v>
      </c>
      <c r="S733" t="inlineStr">
        <is>
          <t>Cameron</t>
        </is>
      </c>
      <c r="T733" t="inlineStr">
        <is>
          <t>2025-04</t>
        </is>
      </c>
    </row>
    <row r="734">
      <c r="A734" s="16" t="n">
        <v>45764</v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A</t>
        </is>
      </c>
      <c r="G734" t="inlineStr">
        <is>
          <t>Wholesale</t>
        </is>
      </c>
      <c r="H734" t="n">
        <v>0.15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n">
        <v/>
      </c>
      <c r="M734" t="n">
        <v>0</v>
      </c>
      <c r="N734" t="inlineStr">
        <is>
          <t>REG100732</t>
        </is>
      </c>
      <c r="O734" t="inlineStr">
        <is>
          <t>Cust 3668</t>
        </is>
      </c>
      <c r="P734" t="n">
        <v>19.18</v>
      </c>
      <c r="Q734" s="16" t="n">
        <v>45764</v>
      </c>
      <c r="R734" s="16" t="n">
        <v>45770</v>
      </c>
      <c r="S734" t="inlineStr">
        <is>
          <t>Cameron</t>
        </is>
      </c>
      <c r="T734" t="inlineStr">
        <is>
          <t>2025-04</t>
        </is>
      </c>
    </row>
    <row r="735">
      <c r="A735" s="16" t="n">
        <v>45577</v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0.05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Cust 4803</t>
        </is>
      </c>
      <c r="P735" t="n">
        <v>25.81</v>
      </c>
      <c r="Q735" s="16" t="n">
        <v>45577</v>
      </c>
      <c r="R735" s="16" t="n">
        <v>45580</v>
      </c>
      <c r="S735" t="inlineStr">
        <is>
          <t>Cameron</t>
        </is>
      </c>
      <c r="T735" t="inlineStr">
        <is>
          <t>2024-10</t>
        </is>
      </c>
    </row>
    <row r="736">
      <c r="A736" s="16" t="n">
        <v>45500</v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D</t>
        </is>
      </c>
      <c r="G736" t="inlineStr">
        <is>
          <t>Wholesale</t>
        </is>
      </c>
      <c r="H736" t="n">
        <v>0.1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Cust 8633</t>
        </is>
      </c>
      <c r="P736" t="n">
        <v>31.3</v>
      </c>
      <c r="Q736" s="16" t="n">
        <v>45500</v>
      </c>
      <c r="R736" s="16" t="n">
        <v>45505</v>
      </c>
      <c r="S736" t="inlineStr">
        <is>
          <t>Cameron</t>
        </is>
      </c>
      <c r="T736" t="inlineStr">
        <is>
          <t>2024-07</t>
        </is>
      </c>
    </row>
    <row r="737">
      <c r="A737" s="16" t="n">
        <v>45667</v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0.15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Cust 7235</t>
        </is>
      </c>
      <c r="P737" t="n">
        <v>46.37</v>
      </c>
      <c r="Q737" s="16" t="n">
        <v>45667</v>
      </c>
      <c r="R737" s="16" t="n">
        <v>45675</v>
      </c>
      <c r="S737" t="inlineStr">
        <is>
          <t>Wendy</t>
        </is>
      </c>
      <c r="T737" t="inlineStr">
        <is>
          <t>2025-01</t>
        </is>
      </c>
    </row>
    <row r="738">
      <c r="A738" s="16" t="n">
        <v>45498</v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D</t>
        </is>
      </c>
      <c r="G738" t="inlineStr">
        <is>
          <t>Wholesale</t>
        </is>
      </c>
      <c r="H738" t="n">
        <v>0.05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n">
        <v/>
      </c>
      <c r="M738" t="n">
        <v>1</v>
      </c>
      <c r="N738" t="inlineStr">
        <is>
          <t>REG100736</t>
        </is>
      </c>
      <c r="O738" t="inlineStr">
        <is>
          <t>Cust 8992</t>
        </is>
      </c>
      <c r="P738" t="n">
        <v>24.34</v>
      </c>
      <c r="Q738" s="16" t="n">
        <v>45498</v>
      </c>
      <c r="R738" s="16" t="n">
        <v>45504</v>
      </c>
      <c r="S738" t="inlineStr">
        <is>
          <t>Sophie</t>
        </is>
      </c>
      <c r="T738" t="inlineStr">
        <is>
          <t>2024-07</t>
        </is>
      </c>
    </row>
    <row r="739">
      <c r="A739" s="16" t="n">
        <v>45434</v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A</t>
        </is>
      </c>
      <c r="G739" t="inlineStr">
        <is>
          <t>Wholesale</t>
        </is>
      </c>
      <c r="H739" t="n">
        <v>0.1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Cust 1889</t>
        </is>
      </c>
      <c r="P739" t="n">
        <v>35.69</v>
      </c>
      <c r="Q739" s="16" t="n">
        <v>45434</v>
      </c>
      <c r="R739" s="16" t="n">
        <v>45437</v>
      </c>
      <c r="S739" t="inlineStr">
        <is>
          <t>Wendy</t>
        </is>
      </c>
      <c r="T739" t="inlineStr">
        <is>
          <t>2024-05</t>
        </is>
      </c>
    </row>
    <row r="740">
      <c r="A740" s="16" t="n">
        <v>45514</v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B</t>
        </is>
      </c>
      <c r="G740" t="inlineStr">
        <is>
          <t>Wholesale</t>
        </is>
      </c>
      <c r="H740" t="n">
        <v>0.05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Cust 5411</t>
        </is>
      </c>
      <c r="P740" t="n">
        <v>25.96</v>
      </c>
      <c r="Q740" s="16" t="n">
        <v>45514</v>
      </c>
      <c r="R740" s="16" t="n">
        <v>45524</v>
      </c>
      <c r="S740" t="inlineStr">
        <is>
          <t>Cameron</t>
        </is>
      </c>
      <c r="T740" t="inlineStr">
        <is>
          <t>2024-08</t>
        </is>
      </c>
    </row>
    <row r="741">
      <c r="A741" s="16" t="n">
        <v>45043</v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B</t>
        </is>
      </c>
      <c r="G741" t="inlineStr">
        <is>
          <t>Retail</t>
        </is>
      </c>
      <c r="H741" t="n">
        <v>0.05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n">
        <v/>
      </c>
      <c r="M741" t="n">
        <v>0</v>
      </c>
      <c r="N741" t="inlineStr">
        <is>
          <t>REG100739</t>
        </is>
      </c>
      <c r="O741" t="inlineStr">
        <is>
          <t>Cust 3411</t>
        </is>
      </c>
      <c r="P741" t="n">
        <v>47.33</v>
      </c>
      <c r="Q741" s="16" t="n">
        <v>45043</v>
      </c>
      <c r="R741" s="16" t="n">
        <v>45045</v>
      </c>
      <c r="S741" t="inlineStr">
        <is>
          <t>Wendy</t>
        </is>
      </c>
      <c r="T741" t="inlineStr">
        <is>
          <t>2023-04</t>
        </is>
      </c>
    </row>
    <row r="742">
      <c r="A742" s="16" t="n">
        <v>45098</v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C</t>
        </is>
      </c>
      <c r="G742" t="inlineStr">
        <is>
          <t>Wholesale</t>
        </is>
      </c>
      <c r="H742" t="n">
        <v>0.05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Cust 7449</t>
        </is>
      </c>
      <c r="P742" t="n">
        <v>42.1</v>
      </c>
      <c r="Q742" s="16" t="n">
        <v>45098</v>
      </c>
      <c r="R742" s="16" t="n">
        <v>45102</v>
      </c>
      <c r="S742" t="inlineStr">
        <is>
          <t>Sophie</t>
        </is>
      </c>
      <c r="T742" t="inlineStr">
        <is>
          <t>2023-06</t>
        </is>
      </c>
    </row>
    <row r="743">
      <c r="A743" s="16" t="n">
        <v>45576</v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B</t>
        </is>
      </c>
      <c r="G743" t="inlineStr">
        <is>
          <t>Wholesale</t>
        </is>
      </c>
      <c r="H743" t="n">
        <v>0.05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n">
        <v/>
      </c>
      <c r="M743" t="n">
        <v>1</v>
      </c>
      <c r="N743" t="inlineStr">
        <is>
          <t>REG100741</t>
        </is>
      </c>
      <c r="O743" t="inlineStr">
        <is>
          <t>Cust 4788</t>
        </is>
      </c>
      <c r="P743" t="n">
        <v>44.42</v>
      </c>
      <c r="Q743" s="16" t="n">
        <v>45576</v>
      </c>
      <c r="R743" s="16" t="n">
        <v>45579</v>
      </c>
      <c r="S743" t="inlineStr">
        <is>
          <t>Wendy</t>
        </is>
      </c>
      <c r="T743" t="inlineStr">
        <is>
          <t>2024-10</t>
        </is>
      </c>
    </row>
    <row r="744">
      <c r="A744" s="16" t="n">
        <v>45683</v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A</t>
        </is>
      </c>
      <c r="G744" t="inlineStr">
        <is>
          <t>Retail</t>
        </is>
      </c>
      <c r="H744" t="n">
        <v>0.05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Cust 3564</t>
        </is>
      </c>
      <c r="P744" t="n">
        <v>23.57</v>
      </c>
      <c r="Q744" s="16" t="n">
        <v>45683</v>
      </c>
      <c r="R744" s="16" t="n">
        <v>45687</v>
      </c>
      <c r="S744" t="inlineStr">
        <is>
          <t>Ryan</t>
        </is>
      </c>
      <c r="T744" t="inlineStr">
        <is>
          <t>2025-01</t>
        </is>
      </c>
    </row>
    <row r="745">
      <c r="A745" s="16" t="n">
        <v>45461</v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A</t>
        </is>
      </c>
      <c r="G745" t="inlineStr">
        <is>
          <t>Wholesale</t>
        </is>
      </c>
      <c r="H745" t="n">
        <v>0.1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Cust 8018</t>
        </is>
      </c>
      <c r="P745" t="n">
        <v>26.47</v>
      </c>
      <c r="Q745" s="16" t="n">
        <v>45461</v>
      </c>
      <c r="R745" s="16" t="n">
        <v>45469</v>
      </c>
      <c r="S745" t="inlineStr">
        <is>
          <t>Sophie</t>
        </is>
      </c>
      <c r="T745" t="inlineStr">
        <is>
          <t>2024-06</t>
        </is>
      </c>
    </row>
    <row r="746">
      <c r="A746" s="16" t="n">
        <v>45826</v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D</t>
        </is>
      </c>
      <c r="G746" t="inlineStr">
        <is>
          <t>Wholesale</t>
        </is>
      </c>
      <c r="H746" t="n">
        <v>0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Cust 3045</t>
        </is>
      </c>
      <c r="P746" t="n">
        <v>17.4</v>
      </c>
      <c r="Q746" s="16" t="n">
        <v>45826</v>
      </c>
      <c r="R746" s="16" t="n">
        <v>45832</v>
      </c>
      <c r="S746" t="inlineStr">
        <is>
          <t>Eric</t>
        </is>
      </c>
      <c r="T746" t="inlineStr">
        <is>
          <t>2025-06</t>
        </is>
      </c>
    </row>
    <row r="747">
      <c r="A747" s="16" t="n">
        <v>45594</v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B</t>
        </is>
      </c>
      <c r="G747" t="inlineStr">
        <is>
          <t>Wholesale</t>
        </is>
      </c>
      <c r="H747" t="n">
        <v>0.05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n">
        <v/>
      </c>
      <c r="M747" t="n">
        <v>0</v>
      </c>
      <c r="N747" t="inlineStr">
        <is>
          <t>REG100745</t>
        </is>
      </c>
      <c r="O747" t="inlineStr">
        <is>
          <t>Cust 7020</t>
        </is>
      </c>
      <c r="P747" t="n">
        <v>21.36</v>
      </c>
      <c r="Q747" s="16" t="n">
        <v>45594</v>
      </c>
      <c r="R747" s="16" t="n">
        <v>45603</v>
      </c>
      <c r="S747" t="inlineStr">
        <is>
          <t>Sophie</t>
        </is>
      </c>
      <c r="T747" t="inlineStr">
        <is>
          <t>2024-10</t>
        </is>
      </c>
    </row>
    <row r="748">
      <c r="A748" s="16" t="n">
        <v>45755</v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B</t>
        </is>
      </c>
      <c r="G748" t="inlineStr">
        <is>
          <t>Wholesale</t>
        </is>
      </c>
      <c r="H748" t="n">
        <v>0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Cust 1905</t>
        </is>
      </c>
      <c r="P748" t="n">
        <v>35.37</v>
      </c>
      <c r="Q748" s="16" t="n">
        <v>45755</v>
      </c>
      <c r="R748" s="16" t="n">
        <v>45761</v>
      </c>
      <c r="S748" t="inlineStr">
        <is>
          <t>Cameron</t>
        </is>
      </c>
      <c r="T748" t="inlineStr">
        <is>
          <t>2025-04</t>
        </is>
      </c>
    </row>
    <row r="749">
      <c r="A749" s="16" t="n">
        <v>44957</v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B</t>
        </is>
      </c>
      <c r="G749" t="inlineStr">
        <is>
          <t>Wholesale</t>
        </is>
      </c>
      <c r="H749" t="n">
        <v>0.05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Cust 4592</t>
        </is>
      </c>
      <c r="P749" t="n">
        <v>42.87</v>
      </c>
      <c r="Q749" s="16" t="n">
        <v>44957</v>
      </c>
      <c r="R749" s="16" t="n">
        <v>44962</v>
      </c>
      <c r="S749" t="inlineStr">
        <is>
          <t>Cameron</t>
        </is>
      </c>
      <c r="T749" t="inlineStr">
        <is>
          <t>2023-01</t>
        </is>
      </c>
    </row>
    <row r="750">
      <c r="A750" s="16" t="n">
        <v>45366</v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A</t>
        </is>
      </c>
      <c r="G750" t="inlineStr">
        <is>
          <t>Wholesale</t>
        </is>
      </c>
      <c r="H750" t="n">
        <v>0.1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Cust 5482</t>
        </is>
      </c>
      <c r="P750" t="n">
        <v>22.11</v>
      </c>
      <c r="Q750" s="16" t="n">
        <v>45366</v>
      </c>
      <c r="R750" s="16" t="n">
        <v>45371</v>
      </c>
      <c r="S750" t="inlineStr">
        <is>
          <t>Wendy</t>
        </is>
      </c>
      <c r="T750" t="inlineStr">
        <is>
          <t>2024-03</t>
        </is>
      </c>
    </row>
    <row r="751">
      <c r="A751" s="16" t="n">
        <v>45100</v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B</t>
        </is>
      </c>
      <c r="G751" t="inlineStr">
        <is>
          <t>Retail</t>
        </is>
      </c>
      <c r="H751" t="n">
        <v>0.05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n">
        <v/>
      </c>
      <c r="M751" t="n">
        <v>1</v>
      </c>
      <c r="N751" t="inlineStr">
        <is>
          <t>REG100749</t>
        </is>
      </c>
      <c r="O751" t="inlineStr">
        <is>
          <t>Cust 1947</t>
        </is>
      </c>
      <c r="P751" t="n">
        <v>17.19</v>
      </c>
      <c r="Q751" s="16" t="n">
        <v>45100</v>
      </c>
      <c r="R751" s="16" t="n">
        <v>45104</v>
      </c>
      <c r="S751" t="inlineStr">
        <is>
          <t>Ryan</t>
        </is>
      </c>
      <c r="T751" t="inlineStr">
        <is>
          <t>2023-06</t>
        </is>
      </c>
    </row>
    <row r="752">
      <c r="A752" s="16" t="n">
        <v>45457</v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0.15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n">
        <v/>
      </c>
      <c r="M752" t="n">
        <v>0</v>
      </c>
      <c r="N752" t="inlineStr">
        <is>
          <t>REG100750</t>
        </is>
      </c>
      <c r="O752" t="inlineStr">
        <is>
          <t>Cust 2801</t>
        </is>
      </c>
      <c r="P752" t="n">
        <v>31.95</v>
      </c>
      <c r="Q752" s="16" t="n">
        <v>45457</v>
      </c>
      <c r="R752" s="16" t="n">
        <v>45466</v>
      </c>
      <c r="S752" t="inlineStr">
        <is>
          <t>Ryan</t>
        </is>
      </c>
      <c r="T752" t="inlineStr">
        <is>
          <t>2024-06</t>
        </is>
      </c>
    </row>
    <row r="753">
      <c r="A753" s="16" t="n">
        <v>45260</v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B</t>
        </is>
      </c>
      <c r="G753" t="inlineStr">
        <is>
          <t>Wholesale</t>
        </is>
      </c>
      <c r="H753" t="n">
        <v>0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Cust 8206</t>
        </is>
      </c>
      <c r="P753" t="n">
        <v>49.49</v>
      </c>
      <c r="Q753" s="16" t="n">
        <v>45260</v>
      </c>
      <c r="R753" s="16" t="n">
        <v>45269</v>
      </c>
      <c r="S753" t="inlineStr">
        <is>
          <t>Wendy</t>
        </is>
      </c>
      <c r="T753" t="inlineStr">
        <is>
          <t>2023-11</t>
        </is>
      </c>
    </row>
    <row r="754">
      <c r="A754" s="16" t="n">
        <v>45403</v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0.05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n">
        <v/>
      </c>
      <c r="M754" t="n">
        <v>0</v>
      </c>
      <c r="N754" t="inlineStr">
        <is>
          <t>REG100752</t>
        </is>
      </c>
      <c r="O754" t="inlineStr">
        <is>
          <t>Cust 5277</t>
        </is>
      </c>
      <c r="P754" t="n">
        <v>17.46</v>
      </c>
      <c r="Q754" s="16" t="n">
        <v>45403</v>
      </c>
      <c r="R754" s="16" t="n">
        <v>45412</v>
      </c>
      <c r="S754" t="inlineStr">
        <is>
          <t>Ryan</t>
        </is>
      </c>
      <c r="T754" t="inlineStr">
        <is>
          <t>2024-04</t>
        </is>
      </c>
    </row>
    <row r="755">
      <c r="A755" s="16" t="n">
        <v>45144</v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B</t>
        </is>
      </c>
      <c r="G755" t="inlineStr">
        <is>
          <t>Retail</t>
        </is>
      </c>
      <c r="H755" t="n">
        <v>0.05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Cust 8900</t>
        </is>
      </c>
      <c r="P755" t="n">
        <v>46.33</v>
      </c>
      <c r="Q755" s="16" t="n">
        <v>45144</v>
      </c>
      <c r="R755" s="16" t="n">
        <v>45150</v>
      </c>
      <c r="S755" t="inlineStr">
        <is>
          <t>Eric</t>
        </is>
      </c>
      <c r="T755" t="inlineStr">
        <is>
          <t>2023-08</t>
        </is>
      </c>
    </row>
    <row r="756">
      <c r="A756" s="16" t="n">
        <v>45464</v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0.15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Cust 9387</t>
        </is>
      </c>
      <c r="P756" t="n">
        <v>28.77</v>
      </c>
      <c r="Q756" s="16" t="n">
        <v>45464</v>
      </c>
      <c r="R756" s="16" t="n">
        <v>45470</v>
      </c>
      <c r="S756" t="inlineStr">
        <is>
          <t>Wendy</t>
        </is>
      </c>
      <c r="T756" t="inlineStr">
        <is>
          <t>2024-06</t>
        </is>
      </c>
    </row>
    <row r="757">
      <c r="A757" s="16" t="n">
        <v>45732</v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C</t>
        </is>
      </c>
      <c r="G757" t="inlineStr">
        <is>
          <t>Retail</t>
        </is>
      </c>
      <c r="H757" t="n">
        <v>0.1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Cust 7013</t>
        </is>
      </c>
      <c r="P757" t="n">
        <v>14.58</v>
      </c>
      <c r="Q757" s="16" t="n">
        <v>45732</v>
      </c>
      <c r="R757" s="16" t="n">
        <v>45740</v>
      </c>
      <c r="S757" t="inlineStr">
        <is>
          <t>Ryan</t>
        </is>
      </c>
      <c r="T757" t="inlineStr">
        <is>
          <t>2025-03</t>
        </is>
      </c>
    </row>
    <row r="758">
      <c r="A758" s="16" t="n">
        <v>45402</v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B</t>
        </is>
      </c>
      <c r="G758" t="inlineStr">
        <is>
          <t>Retail</t>
        </is>
      </c>
      <c r="H758" t="n">
        <v>0.15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Cust 4868</t>
        </is>
      </c>
      <c r="P758" t="n">
        <v>11.16</v>
      </c>
      <c r="Q758" s="16" t="n">
        <v>45402</v>
      </c>
      <c r="R758" s="16" t="n">
        <v>45407</v>
      </c>
      <c r="S758" t="inlineStr">
        <is>
          <t>Wendy</t>
        </is>
      </c>
      <c r="T758" t="inlineStr">
        <is>
          <t>2024-04</t>
        </is>
      </c>
    </row>
    <row r="759">
      <c r="A759" s="16" t="n">
        <v>45646</v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0.1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Cust 5239</t>
        </is>
      </c>
      <c r="P759" t="n">
        <v>26.35</v>
      </c>
      <c r="Q759" s="16" t="n">
        <v>45646</v>
      </c>
      <c r="R759" s="16" t="n">
        <v>45655</v>
      </c>
      <c r="S759" t="inlineStr">
        <is>
          <t>Eric</t>
        </is>
      </c>
      <c r="T759" t="inlineStr">
        <is>
          <t>2024-12</t>
        </is>
      </c>
    </row>
    <row r="760">
      <c r="A760" s="16" t="n">
        <v>45160</v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0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n">
        <v/>
      </c>
      <c r="M760" t="n">
        <v>0</v>
      </c>
      <c r="N760" t="inlineStr">
        <is>
          <t>REG100758</t>
        </is>
      </c>
      <c r="O760" t="inlineStr">
        <is>
          <t>Cust 4703</t>
        </is>
      </c>
      <c r="P760" t="n">
        <v>16.1</v>
      </c>
      <c r="Q760" s="16" t="n">
        <v>45160</v>
      </c>
      <c r="R760" s="16" t="n">
        <v>45170</v>
      </c>
      <c r="S760" t="inlineStr">
        <is>
          <t>Ryan</t>
        </is>
      </c>
      <c r="T760" t="inlineStr">
        <is>
          <t>2023-08</t>
        </is>
      </c>
    </row>
    <row r="761">
      <c r="A761" s="16" t="n">
        <v>44989</v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A</t>
        </is>
      </c>
      <c r="G761" t="inlineStr">
        <is>
          <t>Wholesale</t>
        </is>
      </c>
      <c r="H761" t="n">
        <v>0.15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Cust 7224</t>
        </is>
      </c>
      <c r="P761" t="n">
        <v>5.85</v>
      </c>
      <c r="Q761" s="16" t="n">
        <v>44989</v>
      </c>
      <c r="R761" s="16" t="n">
        <v>44998</v>
      </c>
      <c r="S761" t="inlineStr">
        <is>
          <t>Ryan</t>
        </is>
      </c>
      <c r="T761" t="inlineStr">
        <is>
          <t>2023-03</t>
        </is>
      </c>
    </row>
    <row r="762">
      <c r="A762" s="16" t="n">
        <v>45467</v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B</t>
        </is>
      </c>
      <c r="G762" t="inlineStr">
        <is>
          <t>Wholesale</t>
        </is>
      </c>
      <c r="H762" t="n">
        <v>0.1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Cust 4751</t>
        </is>
      </c>
      <c r="P762" t="n">
        <v>29.9</v>
      </c>
      <c r="Q762" s="16" t="n">
        <v>45467</v>
      </c>
      <c r="R762" s="16" t="n">
        <v>45474</v>
      </c>
      <c r="S762" t="inlineStr">
        <is>
          <t>Ryan</t>
        </is>
      </c>
      <c r="T762" t="inlineStr">
        <is>
          <t>2024-06</t>
        </is>
      </c>
    </row>
    <row r="763">
      <c r="A763" s="16" t="n">
        <v>45635</v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C</t>
        </is>
      </c>
      <c r="G763" t="inlineStr">
        <is>
          <t>Wholesale</t>
        </is>
      </c>
      <c r="H763" t="n">
        <v>0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Cust 1201</t>
        </is>
      </c>
      <c r="P763" t="n">
        <v>14.39</v>
      </c>
      <c r="Q763" s="16" t="n">
        <v>45635</v>
      </c>
      <c r="R763" s="16" t="n">
        <v>45639</v>
      </c>
      <c r="S763" t="inlineStr">
        <is>
          <t>Eric</t>
        </is>
      </c>
      <c r="T763" t="inlineStr">
        <is>
          <t>2024-12</t>
        </is>
      </c>
    </row>
    <row r="764">
      <c r="A764" s="16" t="n">
        <v>45477</v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A</t>
        </is>
      </c>
      <c r="G764" t="inlineStr">
        <is>
          <t>Retail</t>
        </is>
      </c>
      <c r="H764" t="n">
        <v>0.05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Cust 9584</t>
        </is>
      </c>
      <c r="P764" t="n">
        <v>38.58</v>
      </c>
      <c r="Q764" s="16" t="n">
        <v>45477</v>
      </c>
      <c r="R764" s="16" t="n">
        <v>45480</v>
      </c>
      <c r="S764" t="inlineStr">
        <is>
          <t>Wendy</t>
        </is>
      </c>
      <c r="T764" t="inlineStr">
        <is>
          <t>2024-07</t>
        </is>
      </c>
    </row>
    <row r="765">
      <c r="A765" s="16" t="n">
        <v>45720</v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B</t>
        </is>
      </c>
      <c r="G765" t="inlineStr">
        <is>
          <t>Retail</t>
        </is>
      </c>
      <c r="H765" t="n">
        <v>0.15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Cust 6980</t>
        </is>
      </c>
      <c r="P765" t="n">
        <v>41.83</v>
      </c>
      <c r="Q765" s="16" t="n">
        <v>45720</v>
      </c>
      <c r="R765" s="16" t="n">
        <v>45722</v>
      </c>
      <c r="S765" t="inlineStr">
        <is>
          <t>Eric</t>
        </is>
      </c>
      <c r="T765" t="inlineStr">
        <is>
          <t>2025-03</t>
        </is>
      </c>
    </row>
    <row r="766">
      <c r="A766" s="16" t="n">
        <v>45313</v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0.05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Cust 2835</t>
        </is>
      </c>
      <c r="P766" t="n">
        <v>44.04</v>
      </c>
      <c r="Q766" s="16" t="n">
        <v>45313</v>
      </c>
      <c r="R766" s="16" t="n">
        <v>45320</v>
      </c>
      <c r="S766" t="inlineStr">
        <is>
          <t>Eric</t>
        </is>
      </c>
      <c r="T766" t="inlineStr">
        <is>
          <t>2024-01</t>
        </is>
      </c>
    </row>
    <row r="767">
      <c r="A767" s="16" t="n">
        <v>45728</v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A</t>
        </is>
      </c>
      <c r="G767" t="inlineStr">
        <is>
          <t>Retail</t>
        </is>
      </c>
      <c r="H767" t="n">
        <v>0.05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n">
        <v/>
      </c>
      <c r="M767" t="n">
        <v>0</v>
      </c>
      <c r="N767" t="inlineStr">
        <is>
          <t>REG100765</t>
        </is>
      </c>
      <c r="O767" t="inlineStr">
        <is>
          <t>Cust 4286</t>
        </is>
      </c>
      <c r="P767" t="n">
        <v>36.72</v>
      </c>
      <c r="Q767" s="16" t="n">
        <v>45728</v>
      </c>
      <c r="R767" s="16" t="n">
        <v>45737</v>
      </c>
      <c r="S767" t="inlineStr">
        <is>
          <t>Eric</t>
        </is>
      </c>
      <c r="T767" t="inlineStr">
        <is>
          <t>2025-03</t>
        </is>
      </c>
    </row>
    <row r="768">
      <c r="A768" s="16" t="n">
        <v>45716</v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A</t>
        </is>
      </c>
      <c r="G768" t="inlineStr">
        <is>
          <t>Retail</t>
        </is>
      </c>
      <c r="H768" t="n">
        <v>0.05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n">
        <v/>
      </c>
      <c r="M768" t="n">
        <v>0</v>
      </c>
      <c r="N768" t="inlineStr">
        <is>
          <t>REG100766</t>
        </is>
      </c>
      <c r="O768" t="inlineStr">
        <is>
          <t>Cust 7876</t>
        </is>
      </c>
      <c r="P768" t="n">
        <v>25.27</v>
      </c>
      <c r="Q768" s="16" t="n">
        <v>45716</v>
      </c>
      <c r="R768" s="16" t="n">
        <v>45719</v>
      </c>
      <c r="S768" t="inlineStr">
        <is>
          <t>Cameron</t>
        </is>
      </c>
      <c r="T768" t="inlineStr">
        <is>
          <t>2025-02</t>
        </is>
      </c>
    </row>
    <row r="769">
      <c r="A769" s="16" t="n">
        <v>45435</v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D</t>
        </is>
      </c>
      <c r="G769" t="inlineStr">
        <is>
          <t>Wholesale</t>
        </is>
      </c>
      <c r="H769" t="n">
        <v>0.05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Cust 5926</t>
        </is>
      </c>
      <c r="P769" t="n">
        <v>33.67</v>
      </c>
      <c r="Q769" s="16" t="n">
        <v>45435</v>
      </c>
      <c r="R769" s="16" t="n">
        <v>45443</v>
      </c>
      <c r="S769" t="inlineStr">
        <is>
          <t>Eric</t>
        </is>
      </c>
      <c r="T769" t="inlineStr">
        <is>
          <t>2024-05</t>
        </is>
      </c>
    </row>
    <row r="770">
      <c r="A770" s="16" t="n">
        <v>45186</v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A</t>
        </is>
      </c>
      <c r="G770" t="inlineStr">
        <is>
          <t>Wholesale</t>
        </is>
      </c>
      <c r="H770" t="n">
        <v>0.05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n">
        <v/>
      </c>
      <c r="M770" t="n">
        <v>1</v>
      </c>
      <c r="N770" t="inlineStr">
        <is>
          <t>REG100768</t>
        </is>
      </c>
      <c r="O770" t="inlineStr">
        <is>
          <t>Cust 4478</t>
        </is>
      </c>
      <c r="P770" t="n">
        <v>24.3</v>
      </c>
      <c r="Q770" s="16" t="n">
        <v>45186</v>
      </c>
      <c r="R770" s="16" t="n">
        <v>45189</v>
      </c>
      <c r="S770" t="inlineStr">
        <is>
          <t>Ryan</t>
        </is>
      </c>
      <c r="T770" t="inlineStr">
        <is>
          <t>2023-09</t>
        </is>
      </c>
    </row>
    <row r="771">
      <c r="A771" s="16" t="n">
        <v>45090</v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A</t>
        </is>
      </c>
      <c r="G771" t="inlineStr">
        <is>
          <t>Retail</t>
        </is>
      </c>
      <c r="H771" t="n">
        <v>0.1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Cust 4711</t>
        </is>
      </c>
      <c r="P771" t="n">
        <v>35.12</v>
      </c>
      <c r="Q771" s="16" t="n">
        <v>45090</v>
      </c>
      <c r="R771" s="16" t="n">
        <v>45095</v>
      </c>
      <c r="S771" t="inlineStr">
        <is>
          <t>Eric</t>
        </is>
      </c>
      <c r="T771" t="inlineStr">
        <is>
          <t>2023-06</t>
        </is>
      </c>
    </row>
    <row r="772">
      <c r="A772" s="16" t="n">
        <v>45808</v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A</t>
        </is>
      </c>
      <c r="G772" t="inlineStr">
        <is>
          <t>Wholesale</t>
        </is>
      </c>
      <c r="H772" t="n">
        <v>0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Cust 9227</t>
        </is>
      </c>
      <c r="P772" t="n">
        <v>11.99</v>
      </c>
      <c r="Q772" s="16" t="n">
        <v>45808</v>
      </c>
      <c r="R772" s="16" t="n">
        <v>45810</v>
      </c>
      <c r="S772" t="inlineStr">
        <is>
          <t>Wendy</t>
        </is>
      </c>
      <c r="T772" t="inlineStr">
        <is>
          <t>2025-05</t>
        </is>
      </c>
    </row>
    <row r="773">
      <c r="A773" s="16" t="n">
        <v>45210</v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C</t>
        </is>
      </c>
      <c r="G773" t="inlineStr">
        <is>
          <t>Retail</t>
        </is>
      </c>
      <c r="H773" t="n">
        <v>0.15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Cust 2830</t>
        </is>
      </c>
      <c r="P773" t="n">
        <v>43.2</v>
      </c>
      <c r="Q773" s="16" t="n">
        <v>45210</v>
      </c>
      <c r="R773" s="16" t="n">
        <v>45213</v>
      </c>
      <c r="S773" t="inlineStr">
        <is>
          <t>Eric</t>
        </is>
      </c>
      <c r="T773" t="inlineStr">
        <is>
          <t>2023-10</t>
        </is>
      </c>
    </row>
    <row r="774">
      <c r="A774" s="16" t="n">
        <v>45145</v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A</t>
        </is>
      </c>
      <c r="G774" t="inlineStr">
        <is>
          <t>Retail</t>
        </is>
      </c>
      <c r="H774" t="n">
        <v>0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Cust 3767</t>
        </is>
      </c>
      <c r="P774" t="n">
        <v>14.43</v>
      </c>
      <c r="Q774" s="16" t="n">
        <v>45145</v>
      </c>
      <c r="R774" s="16" t="n">
        <v>45152</v>
      </c>
      <c r="S774" t="inlineStr">
        <is>
          <t>Wendy</t>
        </is>
      </c>
      <c r="T774" t="inlineStr">
        <is>
          <t>2023-08</t>
        </is>
      </c>
    </row>
    <row r="775">
      <c r="A775" s="16" t="n">
        <v>45263</v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A</t>
        </is>
      </c>
      <c r="G775" t="inlineStr">
        <is>
          <t>Retail</t>
        </is>
      </c>
      <c r="H775" t="n">
        <v>0.05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n">
        <v/>
      </c>
      <c r="M775" t="n">
        <v>1</v>
      </c>
      <c r="N775" t="inlineStr">
        <is>
          <t>REG100773</t>
        </is>
      </c>
      <c r="O775" t="inlineStr">
        <is>
          <t>Cust 1561</t>
        </is>
      </c>
      <c r="P775" t="n">
        <v>38.48</v>
      </c>
      <c r="Q775" s="16" t="n">
        <v>45263</v>
      </c>
      <c r="R775" s="16" t="n">
        <v>45265</v>
      </c>
      <c r="S775" t="inlineStr">
        <is>
          <t>Ryan</t>
        </is>
      </c>
      <c r="T775" t="inlineStr">
        <is>
          <t>2023-12</t>
        </is>
      </c>
    </row>
    <row r="776">
      <c r="A776" s="16" t="n">
        <v>45505</v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D</t>
        </is>
      </c>
      <c r="G776" t="inlineStr">
        <is>
          <t>Retail</t>
        </is>
      </c>
      <c r="H776" t="n">
        <v>0.1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Cust 8569</t>
        </is>
      </c>
      <c r="P776" t="n">
        <v>49.93</v>
      </c>
      <c r="Q776" s="16" t="n">
        <v>45505</v>
      </c>
      <c r="R776" s="16" t="n">
        <v>45508</v>
      </c>
      <c r="S776" t="inlineStr">
        <is>
          <t>Cameron</t>
        </is>
      </c>
      <c r="T776" t="inlineStr">
        <is>
          <t>2024-08</t>
        </is>
      </c>
    </row>
    <row r="777">
      <c r="A777" s="16" t="n">
        <v>45005</v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B</t>
        </is>
      </c>
      <c r="G777" t="inlineStr">
        <is>
          <t>Wholesale</t>
        </is>
      </c>
      <c r="H777" t="n">
        <v>0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Cust 1254</t>
        </is>
      </c>
      <c r="P777" t="n">
        <v>14</v>
      </c>
      <c r="Q777" s="16" t="n">
        <v>45005</v>
      </c>
      <c r="R777" s="16" t="n">
        <v>45012</v>
      </c>
      <c r="S777" t="inlineStr">
        <is>
          <t>Eric</t>
        </is>
      </c>
      <c r="T777" t="inlineStr">
        <is>
          <t>2023-03</t>
        </is>
      </c>
    </row>
    <row r="778">
      <c r="A778" s="16" t="n">
        <v>45838</v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D</t>
        </is>
      </c>
      <c r="G778" t="inlineStr">
        <is>
          <t>Retail</t>
        </is>
      </c>
      <c r="H778" t="n">
        <v>0.05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Cust 8556</t>
        </is>
      </c>
      <c r="P778" t="n">
        <v>7.59</v>
      </c>
      <c r="Q778" s="16" t="n">
        <v>45838</v>
      </c>
      <c r="R778" s="16" t="n">
        <v>45842</v>
      </c>
      <c r="S778" t="inlineStr">
        <is>
          <t>Cameron</t>
        </is>
      </c>
      <c r="T778" t="inlineStr">
        <is>
          <t>2025-06</t>
        </is>
      </c>
    </row>
    <row r="779">
      <c r="A779" s="16" t="n">
        <v>45693</v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B</t>
        </is>
      </c>
      <c r="G779" t="inlineStr">
        <is>
          <t>Retail</t>
        </is>
      </c>
      <c r="H779" t="n">
        <v>0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Cust 7204</t>
        </is>
      </c>
      <c r="P779" t="n">
        <v>11.44</v>
      </c>
      <c r="Q779" s="16" t="n">
        <v>45693</v>
      </c>
      <c r="R779" s="16" t="n">
        <v>45695</v>
      </c>
      <c r="S779" t="inlineStr">
        <is>
          <t>Sophie</t>
        </is>
      </c>
      <c r="T779" t="inlineStr">
        <is>
          <t>2025-02</t>
        </is>
      </c>
    </row>
    <row r="780">
      <c r="A780" s="16" t="n">
        <v>45431</v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D</t>
        </is>
      </c>
      <c r="G780" t="inlineStr">
        <is>
          <t>Wholesale</t>
        </is>
      </c>
      <c r="H780" t="n">
        <v>0.15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Cust 7725</t>
        </is>
      </c>
      <c r="P780" t="n">
        <v>21.64</v>
      </c>
      <c r="Q780" s="16" t="n">
        <v>45431</v>
      </c>
      <c r="R780" s="16" t="n">
        <v>45441</v>
      </c>
      <c r="S780" t="inlineStr">
        <is>
          <t>Eric</t>
        </is>
      </c>
      <c r="T780" t="inlineStr">
        <is>
          <t>2024-05</t>
        </is>
      </c>
    </row>
    <row r="781">
      <c r="A781" s="16" t="n">
        <v>44989</v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0.1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Cust 9210</t>
        </is>
      </c>
      <c r="P781" t="n">
        <v>21.31</v>
      </c>
      <c r="Q781" s="16" t="n">
        <v>44989</v>
      </c>
      <c r="R781" s="16" t="n">
        <v>44997</v>
      </c>
      <c r="S781" t="inlineStr">
        <is>
          <t>Ryan</t>
        </is>
      </c>
      <c r="T781" t="inlineStr">
        <is>
          <t>2023-03</t>
        </is>
      </c>
    </row>
    <row r="782">
      <c r="A782" s="16" t="n">
        <v>44948</v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D</t>
        </is>
      </c>
      <c r="G782" t="inlineStr">
        <is>
          <t>Retail</t>
        </is>
      </c>
      <c r="H782" t="n">
        <v>0.1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Cust 9085</t>
        </is>
      </c>
      <c r="P782" t="n">
        <v>41.69</v>
      </c>
      <c r="Q782" s="16" t="n">
        <v>44948</v>
      </c>
      <c r="R782" s="16" t="n">
        <v>44950</v>
      </c>
      <c r="S782" t="inlineStr">
        <is>
          <t>Cameron</t>
        </is>
      </c>
      <c r="T782" t="inlineStr">
        <is>
          <t>2023-01</t>
        </is>
      </c>
    </row>
    <row r="783">
      <c r="A783" s="16" t="n">
        <v>45005</v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B</t>
        </is>
      </c>
      <c r="G783" t="inlineStr">
        <is>
          <t>Retail</t>
        </is>
      </c>
      <c r="H783" t="n">
        <v>0.15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Cust 4937</t>
        </is>
      </c>
      <c r="P783" t="n">
        <v>41.42</v>
      </c>
      <c r="Q783" s="16" t="n">
        <v>45005</v>
      </c>
      <c r="R783" s="16" t="n">
        <v>45010</v>
      </c>
      <c r="S783" t="inlineStr">
        <is>
          <t>Sophie</t>
        </is>
      </c>
      <c r="T783" t="inlineStr">
        <is>
          <t>2023-03</t>
        </is>
      </c>
    </row>
    <row r="784">
      <c r="A784" s="16" t="n">
        <v>45448</v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D</t>
        </is>
      </c>
      <c r="G784" t="inlineStr">
        <is>
          <t>Retail</t>
        </is>
      </c>
      <c r="H784" t="n">
        <v>0.05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Cust 3606</t>
        </is>
      </c>
      <c r="P784" t="n">
        <v>35.51</v>
      </c>
      <c r="Q784" s="16" t="n">
        <v>45448</v>
      </c>
      <c r="R784" s="16" t="n">
        <v>45456</v>
      </c>
      <c r="S784" t="inlineStr">
        <is>
          <t>Wendy</t>
        </is>
      </c>
      <c r="T784" t="inlineStr">
        <is>
          <t>2024-06</t>
        </is>
      </c>
    </row>
    <row r="785">
      <c r="A785" s="16" t="n">
        <v>45482</v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A</t>
        </is>
      </c>
      <c r="G785" t="inlineStr">
        <is>
          <t>Wholesale</t>
        </is>
      </c>
      <c r="H785" t="n">
        <v>0.15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n">
        <v/>
      </c>
      <c r="M785" t="n">
        <v>1</v>
      </c>
      <c r="N785" t="inlineStr">
        <is>
          <t>REG100783</t>
        </is>
      </c>
      <c r="O785" t="inlineStr">
        <is>
          <t>Cust 5865</t>
        </is>
      </c>
      <c r="P785" t="n">
        <v>44.72</v>
      </c>
      <c r="Q785" s="16" t="n">
        <v>45482</v>
      </c>
      <c r="R785" s="16" t="n">
        <v>45490</v>
      </c>
      <c r="S785" t="inlineStr">
        <is>
          <t>Eric</t>
        </is>
      </c>
      <c r="T785" t="inlineStr">
        <is>
          <t>2024-07</t>
        </is>
      </c>
    </row>
    <row r="786">
      <c r="A786" s="16" t="n">
        <v>45724</v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C</t>
        </is>
      </c>
      <c r="G786" t="inlineStr">
        <is>
          <t>Wholesale</t>
        </is>
      </c>
      <c r="H786" t="n">
        <v>0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Cust 7195</t>
        </is>
      </c>
      <c r="P786" t="n">
        <v>26.86</v>
      </c>
      <c r="Q786" s="16" t="n">
        <v>45724</v>
      </c>
      <c r="R786" s="16" t="n">
        <v>45729</v>
      </c>
      <c r="S786" t="inlineStr">
        <is>
          <t>Sophie</t>
        </is>
      </c>
      <c r="T786" t="inlineStr">
        <is>
          <t>2025-03</t>
        </is>
      </c>
    </row>
    <row r="787">
      <c r="A787" s="16" t="n">
        <v>45829</v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B</t>
        </is>
      </c>
      <c r="G787" t="inlineStr">
        <is>
          <t>Retail</t>
        </is>
      </c>
      <c r="H787" t="n">
        <v>0.15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Cust 6113</t>
        </is>
      </c>
      <c r="P787" t="n">
        <v>30.12</v>
      </c>
      <c r="Q787" s="16" t="n">
        <v>45829</v>
      </c>
      <c r="R787" s="16" t="n">
        <v>45838</v>
      </c>
      <c r="S787" t="inlineStr">
        <is>
          <t>Sophie</t>
        </is>
      </c>
      <c r="T787" t="inlineStr">
        <is>
          <t>2025-06</t>
        </is>
      </c>
    </row>
    <row r="788">
      <c r="A788" s="16" t="n">
        <v>45836</v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C</t>
        </is>
      </c>
      <c r="G788" t="inlineStr">
        <is>
          <t>Retail</t>
        </is>
      </c>
      <c r="H788" t="n">
        <v>0.15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n">
        <v/>
      </c>
      <c r="M788" t="n">
        <v>0</v>
      </c>
      <c r="N788" t="inlineStr">
        <is>
          <t>REG100786</t>
        </is>
      </c>
      <c r="O788" t="inlineStr">
        <is>
          <t>Cust 9878</t>
        </is>
      </c>
      <c r="P788" t="n">
        <v>18.2</v>
      </c>
      <c r="Q788" s="16" t="n">
        <v>45836</v>
      </c>
      <c r="R788" s="16" t="n">
        <v>45839</v>
      </c>
      <c r="S788" t="inlineStr">
        <is>
          <t>Ryan</t>
        </is>
      </c>
      <c r="T788" t="inlineStr">
        <is>
          <t>2025-06</t>
        </is>
      </c>
    </row>
    <row r="789">
      <c r="A789" s="16" t="n">
        <v>45752</v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D</t>
        </is>
      </c>
      <c r="G789" t="inlineStr">
        <is>
          <t>Wholesale</t>
        </is>
      </c>
      <c r="H789" t="n">
        <v>0.15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Cust 3936</t>
        </is>
      </c>
      <c r="P789" t="n">
        <v>35.82</v>
      </c>
      <c r="Q789" s="16" t="n">
        <v>45752</v>
      </c>
      <c r="R789" s="16" t="n">
        <v>45760</v>
      </c>
      <c r="S789" t="inlineStr">
        <is>
          <t>Wendy</t>
        </is>
      </c>
      <c r="T789" t="inlineStr">
        <is>
          <t>2025-04</t>
        </is>
      </c>
    </row>
    <row r="790">
      <c r="A790" s="16" t="n">
        <v>45356</v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D</t>
        </is>
      </c>
      <c r="G790" t="inlineStr">
        <is>
          <t>Wholesale</t>
        </is>
      </c>
      <c r="H790" t="n">
        <v>0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Cust 3937</t>
        </is>
      </c>
      <c r="P790" t="n">
        <v>41.89</v>
      </c>
      <c r="Q790" s="16" t="n">
        <v>45356</v>
      </c>
      <c r="R790" s="16" t="n">
        <v>45363</v>
      </c>
      <c r="S790" t="inlineStr">
        <is>
          <t>Sophie</t>
        </is>
      </c>
      <c r="T790" t="inlineStr">
        <is>
          <t>2024-03</t>
        </is>
      </c>
    </row>
    <row r="791">
      <c r="A791" s="16" t="n">
        <v>45360</v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0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Cust 5262</t>
        </is>
      </c>
      <c r="P791" t="n">
        <v>28.11</v>
      </c>
      <c r="Q791" s="16" t="n">
        <v>45360</v>
      </c>
      <c r="R791" s="16" t="n">
        <v>45362</v>
      </c>
      <c r="S791" t="inlineStr">
        <is>
          <t>Eric</t>
        </is>
      </c>
      <c r="T791" t="inlineStr">
        <is>
          <t>2024-03</t>
        </is>
      </c>
    </row>
    <row r="792">
      <c r="A792" s="16" t="n">
        <v>45713</v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0.05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Cust 3892</t>
        </is>
      </c>
      <c r="P792" t="n">
        <v>37.84</v>
      </c>
      <c r="Q792" s="16" t="n">
        <v>45713</v>
      </c>
      <c r="R792" s="16" t="n">
        <v>45716</v>
      </c>
      <c r="S792" t="inlineStr">
        <is>
          <t>Cameron</t>
        </is>
      </c>
      <c r="T792" t="inlineStr">
        <is>
          <t>2025-02</t>
        </is>
      </c>
    </row>
    <row r="793">
      <c r="A793" s="16" t="n">
        <v>45612</v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D</t>
        </is>
      </c>
      <c r="G793" t="inlineStr">
        <is>
          <t>Retail</t>
        </is>
      </c>
      <c r="H793" t="n">
        <v>0.05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Cust 8826</t>
        </is>
      </c>
      <c r="P793" t="n">
        <v>32.52</v>
      </c>
      <c r="Q793" s="16" t="n">
        <v>45612</v>
      </c>
      <c r="R793" s="16" t="n">
        <v>45619</v>
      </c>
      <c r="S793" t="inlineStr">
        <is>
          <t>Wendy</t>
        </is>
      </c>
      <c r="T793" t="inlineStr">
        <is>
          <t>2024-11</t>
        </is>
      </c>
    </row>
    <row r="794">
      <c r="A794" s="16" t="n">
        <v>45505</v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D</t>
        </is>
      </c>
      <c r="G794" t="inlineStr">
        <is>
          <t>Wholesale</t>
        </is>
      </c>
      <c r="H794" t="n">
        <v>0.05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Cust 1119</t>
        </is>
      </c>
      <c r="P794" t="n">
        <v>22.96</v>
      </c>
      <c r="Q794" s="16" t="n">
        <v>45505</v>
      </c>
      <c r="R794" s="16" t="n">
        <v>45510</v>
      </c>
      <c r="S794" t="inlineStr">
        <is>
          <t>Sophie</t>
        </is>
      </c>
      <c r="T794" t="inlineStr">
        <is>
          <t>2024-08</t>
        </is>
      </c>
    </row>
    <row r="795">
      <c r="A795" s="16" t="n">
        <v>45402</v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B</t>
        </is>
      </c>
      <c r="G795" t="inlineStr">
        <is>
          <t>Retail</t>
        </is>
      </c>
      <c r="H795" t="n">
        <v>0.05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Cust 2685</t>
        </is>
      </c>
      <c r="P795" t="n">
        <v>12.7</v>
      </c>
      <c r="Q795" s="16" t="n">
        <v>45402</v>
      </c>
      <c r="R795" s="16" t="n">
        <v>45412</v>
      </c>
      <c r="S795" t="inlineStr">
        <is>
          <t>Wendy</t>
        </is>
      </c>
      <c r="T795" t="inlineStr">
        <is>
          <t>2024-04</t>
        </is>
      </c>
    </row>
    <row r="796">
      <c r="A796" s="16" t="n">
        <v>45402</v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C</t>
        </is>
      </c>
      <c r="G796" t="inlineStr">
        <is>
          <t>Retail</t>
        </is>
      </c>
      <c r="H796" t="n">
        <v>0.1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n">
        <v/>
      </c>
      <c r="M796" t="n">
        <v>0</v>
      </c>
      <c r="N796" t="inlineStr">
        <is>
          <t>REG100794</t>
        </is>
      </c>
      <c r="O796" t="inlineStr">
        <is>
          <t>Cust 5939</t>
        </is>
      </c>
      <c r="P796" t="n">
        <v>45.41</v>
      </c>
      <c r="Q796" s="16" t="n">
        <v>45402</v>
      </c>
      <c r="R796" s="16" t="n">
        <v>45407</v>
      </c>
      <c r="S796" t="inlineStr">
        <is>
          <t>Sophie</t>
        </is>
      </c>
      <c r="T796" t="inlineStr">
        <is>
          <t>2024-04</t>
        </is>
      </c>
    </row>
    <row r="797">
      <c r="A797" s="16" t="n">
        <v>45191</v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A</t>
        </is>
      </c>
      <c r="G797" t="inlineStr">
        <is>
          <t>Retail</t>
        </is>
      </c>
      <c r="H797" t="n">
        <v>0.15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Cust 1791</t>
        </is>
      </c>
      <c r="P797" t="n">
        <v>7.06</v>
      </c>
      <c r="Q797" s="16" t="n">
        <v>45191</v>
      </c>
      <c r="R797" s="16" t="n">
        <v>45197</v>
      </c>
      <c r="S797" t="inlineStr">
        <is>
          <t>Ryan</t>
        </is>
      </c>
      <c r="T797" t="inlineStr">
        <is>
          <t>2023-09</t>
        </is>
      </c>
    </row>
    <row r="798">
      <c r="A798" s="16" t="n">
        <v>45709</v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A</t>
        </is>
      </c>
      <c r="G798" t="inlineStr">
        <is>
          <t>Retail</t>
        </is>
      </c>
      <c r="H798" t="n">
        <v>0.1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n">
        <v/>
      </c>
      <c r="M798" t="n">
        <v>0</v>
      </c>
      <c r="N798" t="inlineStr">
        <is>
          <t>REG100796</t>
        </is>
      </c>
      <c r="O798" t="inlineStr">
        <is>
          <t>Cust 8530</t>
        </is>
      </c>
      <c r="P798" t="n">
        <v>25.39</v>
      </c>
      <c r="Q798" s="16" t="n">
        <v>45709</v>
      </c>
      <c r="R798" s="16" t="n">
        <v>45718</v>
      </c>
      <c r="S798" t="inlineStr">
        <is>
          <t>Wendy</t>
        </is>
      </c>
      <c r="T798" t="inlineStr">
        <is>
          <t>2025-02</t>
        </is>
      </c>
    </row>
    <row r="799">
      <c r="A799" s="16" t="n">
        <v>45832</v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C</t>
        </is>
      </c>
      <c r="G799" t="inlineStr">
        <is>
          <t>Wholesale</t>
        </is>
      </c>
      <c r="H799" t="n">
        <v>0.15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Cust 4522</t>
        </is>
      </c>
      <c r="P799" t="n">
        <v>6.45</v>
      </c>
      <c r="Q799" s="16" t="n">
        <v>45832</v>
      </c>
      <c r="R799" s="16" t="n">
        <v>45839</v>
      </c>
      <c r="S799" t="inlineStr">
        <is>
          <t>Eric</t>
        </is>
      </c>
      <c r="T799" t="inlineStr">
        <is>
          <t>2025-06</t>
        </is>
      </c>
    </row>
    <row r="800">
      <c r="A800" s="16" t="n">
        <v>45258</v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B</t>
        </is>
      </c>
      <c r="G800" t="inlineStr">
        <is>
          <t>Retail</t>
        </is>
      </c>
      <c r="H800" t="n">
        <v>0.15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Cust 9619</t>
        </is>
      </c>
      <c r="P800" t="n">
        <v>6.31</v>
      </c>
      <c r="Q800" s="16" t="n">
        <v>45258</v>
      </c>
      <c r="R800" s="16" t="n">
        <v>45265</v>
      </c>
      <c r="S800" t="inlineStr">
        <is>
          <t>Cameron</t>
        </is>
      </c>
      <c r="T800" t="inlineStr">
        <is>
          <t>2023-11</t>
        </is>
      </c>
    </row>
    <row r="801">
      <c r="A801" s="16" t="n">
        <v>45390</v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0.05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Cust 1637</t>
        </is>
      </c>
      <c r="P801" t="n">
        <v>35.49</v>
      </c>
      <c r="Q801" s="16" t="n">
        <v>45390</v>
      </c>
      <c r="R801" s="16" t="n">
        <v>45399</v>
      </c>
      <c r="S801" t="inlineStr">
        <is>
          <t>Ryan</t>
        </is>
      </c>
      <c r="T801" t="inlineStr">
        <is>
          <t>2024-04</t>
        </is>
      </c>
    </row>
    <row r="802">
      <c r="A802" s="16" t="n">
        <v>45664</v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0.05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Cust 6914</t>
        </is>
      </c>
      <c r="P802" t="n">
        <v>14.31</v>
      </c>
      <c r="Q802" s="16" t="n">
        <v>45664</v>
      </c>
      <c r="R802" s="16" t="n">
        <v>45671</v>
      </c>
      <c r="S802" t="inlineStr">
        <is>
          <t>Ryan</t>
        </is>
      </c>
      <c r="T802" t="inlineStr">
        <is>
          <t>2025-01</t>
        </is>
      </c>
    </row>
    <row r="803">
      <c r="A803" s="16" t="n">
        <v>44981</v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A</t>
        </is>
      </c>
      <c r="G803" t="inlineStr">
        <is>
          <t>Wholesale</t>
        </is>
      </c>
      <c r="H803" t="n">
        <v>0.1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Cust 5737</t>
        </is>
      </c>
      <c r="P803" t="n">
        <v>43.7</v>
      </c>
      <c r="Q803" s="16" t="n">
        <v>44981</v>
      </c>
      <c r="R803" s="16" t="n">
        <v>44988</v>
      </c>
      <c r="S803" t="inlineStr">
        <is>
          <t>Sophie</t>
        </is>
      </c>
      <c r="T803" t="inlineStr">
        <is>
          <t>2023-02</t>
        </is>
      </c>
    </row>
    <row r="804">
      <c r="A804" s="16" t="n">
        <v>45218</v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B</t>
        </is>
      </c>
      <c r="G804" t="inlineStr">
        <is>
          <t>Wholesale</t>
        </is>
      </c>
      <c r="H804" t="n">
        <v>0.1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n">
        <v/>
      </c>
      <c r="M804" t="n">
        <v>0</v>
      </c>
      <c r="N804" t="inlineStr">
        <is>
          <t>REG100802</t>
        </is>
      </c>
      <c r="O804" t="inlineStr">
        <is>
          <t>Cust 5301</t>
        </is>
      </c>
      <c r="P804" t="n">
        <v>12.64</v>
      </c>
      <c r="Q804" s="16" t="n">
        <v>45218</v>
      </c>
      <c r="R804" s="16" t="n">
        <v>45225</v>
      </c>
      <c r="S804" t="inlineStr">
        <is>
          <t>Eric</t>
        </is>
      </c>
      <c r="T804" t="inlineStr">
        <is>
          <t>2023-10</t>
        </is>
      </c>
    </row>
    <row r="805">
      <c r="A805" s="16" t="n">
        <v>45460</v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0.15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n">
        <v/>
      </c>
      <c r="M805" t="n">
        <v>0</v>
      </c>
      <c r="N805" t="inlineStr">
        <is>
          <t>REG100803</t>
        </is>
      </c>
      <c r="O805" t="inlineStr">
        <is>
          <t>Cust 2524</t>
        </is>
      </c>
      <c r="P805" t="n">
        <v>41.11</v>
      </c>
      <c r="Q805" s="16" t="n">
        <v>45460</v>
      </c>
      <c r="R805" s="16" t="n">
        <v>45464</v>
      </c>
      <c r="S805" t="inlineStr">
        <is>
          <t>Ryan</t>
        </is>
      </c>
      <c r="T805" t="inlineStr">
        <is>
          <t>2024-06</t>
        </is>
      </c>
    </row>
    <row r="806">
      <c r="A806" s="16" t="n">
        <v>45098</v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B</t>
        </is>
      </c>
      <c r="G806" t="inlineStr">
        <is>
          <t>Wholesale</t>
        </is>
      </c>
      <c r="H806" t="n">
        <v>0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n">
        <v/>
      </c>
      <c r="M806" t="n">
        <v>0</v>
      </c>
      <c r="N806" t="inlineStr">
        <is>
          <t>REG100804</t>
        </is>
      </c>
      <c r="O806" t="inlineStr">
        <is>
          <t>Cust 8480</t>
        </is>
      </c>
      <c r="P806" t="n">
        <v>18.47</v>
      </c>
      <c r="Q806" s="16" t="n">
        <v>45098</v>
      </c>
      <c r="R806" s="16" t="n">
        <v>45106</v>
      </c>
      <c r="S806" t="inlineStr">
        <is>
          <t>Cameron</t>
        </is>
      </c>
      <c r="T806" t="inlineStr">
        <is>
          <t>2023-06</t>
        </is>
      </c>
    </row>
    <row r="807">
      <c r="A807" s="16" t="n">
        <v>45534</v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C</t>
        </is>
      </c>
      <c r="G807" t="inlineStr">
        <is>
          <t>Wholesale</t>
        </is>
      </c>
      <c r="H807" t="n">
        <v>0.15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n">
        <v/>
      </c>
      <c r="M807" t="n">
        <v>0</v>
      </c>
      <c r="N807" t="inlineStr">
        <is>
          <t>REG100805</t>
        </is>
      </c>
      <c r="O807" t="inlineStr">
        <is>
          <t>Cust 2595</t>
        </is>
      </c>
      <c r="P807" t="n">
        <v>38.63</v>
      </c>
      <c r="Q807" s="16" t="n">
        <v>45534</v>
      </c>
      <c r="R807" s="16" t="n">
        <v>45537</v>
      </c>
      <c r="S807" t="inlineStr">
        <is>
          <t>Eric</t>
        </is>
      </c>
      <c r="T807" t="inlineStr">
        <is>
          <t>2024-08</t>
        </is>
      </c>
    </row>
    <row r="808">
      <c r="A808" s="16" t="n">
        <v>45660</v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A</t>
        </is>
      </c>
      <c r="G808" t="inlineStr">
        <is>
          <t>Retail</t>
        </is>
      </c>
      <c r="H808" t="n">
        <v>0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Cust 7132</t>
        </is>
      </c>
      <c r="P808" t="n">
        <v>29.96</v>
      </c>
      <c r="Q808" s="16" t="n">
        <v>45660</v>
      </c>
      <c r="R808" s="16" t="n">
        <v>45670</v>
      </c>
      <c r="S808" t="inlineStr">
        <is>
          <t>Cameron</t>
        </is>
      </c>
      <c r="T808" t="inlineStr">
        <is>
          <t>2025-01</t>
        </is>
      </c>
    </row>
    <row r="809">
      <c r="A809" s="16" t="n">
        <v>44980</v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0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Cust 4240</t>
        </is>
      </c>
      <c r="P809" t="n">
        <v>37.53</v>
      </c>
      <c r="Q809" s="16" t="n">
        <v>44980</v>
      </c>
      <c r="R809" s="16" t="n">
        <v>44987</v>
      </c>
      <c r="S809" t="inlineStr">
        <is>
          <t>Wendy</t>
        </is>
      </c>
      <c r="T809" t="inlineStr">
        <is>
          <t>2023-02</t>
        </is>
      </c>
    </row>
    <row r="810">
      <c r="A810" s="16" t="n">
        <v>45773</v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D</t>
        </is>
      </c>
      <c r="G810" t="inlineStr">
        <is>
          <t>Wholesale</t>
        </is>
      </c>
      <c r="H810" t="n">
        <v>0.05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Cust 4644</t>
        </is>
      </c>
      <c r="P810" t="n">
        <v>44.26</v>
      </c>
      <c r="Q810" s="16" t="n">
        <v>45773</v>
      </c>
      <c r="R810" s="16" t="n">
        <v>45776</v>
      </c>
      <c r="S810" t="inlineStr">
        <is>
          <t>Cameron</t>
        </is>
      </c>
      <c r="T810" t="inlineStr">
        <is>
          <t>2025-04</t>
        </is>
      </c>
    </row>
    <row r="811">
      <c r="A811" s="16" t="n">
        <v>45085</v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B</t>
        </is>
      </c>
      <c r="G811" t="inlineStr">
        <is>
          <t>Wholesale</t>
        </is>
      </c>
      <c r="H811" t="n">
        <v>0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Cust 5133</t>
        </is>
      </c>
      <c r="P811" t="n">
        <v>8.279999999999999</v>
      </c>
      <c r="Q811" s="16" t="n">
        <v>45085</v>
      </c>
      <c r="R811" s="16" t="n">
        <v>45091</v>
      </c>
      <c r="S811" t="inlineStr">
        <is>
          <t>Sophie</t>
        </is>
      </c>
      <c r="T811" t="inlineStr">
        <is>
          <t>2023-06</t>
        </is>
      </c>
    </row>
    <row r="812">
      <c r="A812" s="16" t="n">
        <v>45001</v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D</t>
        </is>
      </c>
      <c r="G812" t="inlineStr">
        <is>
          <t>Wholesale</t>
        </is>
      </c>
      <c r="H812" t="n">
        <v>0.1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Cust 1731</t>
        </is>
      </c>
      <c r="P812" t="n">
        <v>24.4</v>
      </c>
      <c r="Q812" s="16" t="n">
        <v>45001</v>
      </c>
      <c r="R812" s="16" t="n">
        <v>45010</v>
      </c>
      <c r="S812" t="inlineStr">
        <is>
          <t>Ryan</t>
        </is>
      </c>
      <c r="T812" t="inlineStr">
        <is>
          <t>2023-03</t>
        </is>
      </c>
    </row>
    <row r="813">
      <c r="A813" s="16" t="n">
        <v>45588</v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D</t>
        </is>
      </c>
      <c r="G813" t="inlineStr">
        <is>
          <t>Wholesale</t>
        </is>
      </c>
      <c r="H813" t="n">
        <v>0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Cust 3739</t>
        </is>
      </c>
      <c r="P813" t="n">
        <v>16.62</v>
      </c>
      <c r="Q813" s="16" t="n">
        <v>45588</v>
      </c>
      <c r="R813" s="16" t="n">
        <v>45593</v>
      </c>
      <c r="S813" t="inlineStr">
        <is>
          <t>Ryan</t>
        </is>
      </c>
      <c r="T813" t="inlineStr">
        <is>
          <t>2024-10</t>
        </is>
      </c>
    </row>
    <row r="814">
      <c r="A814" s="16" t="n">
        <v>45800</v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D</t>
        </is>
      </c>
      <c r="G814" t="inlineStr">
        <is>
          <t>Retail</t>
        </is>
      </c>
      <c r="H814" t="n">
        <v>0.1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n">
        <v/>
      </c>
      <c r="M814" t="n">
        <v>1</v>
      </c>
      <c r="N814" t="inlineStr">
        <is>
          <t>REG100812</t>
        </is>
      </c>
      <c r="O814" t="inlineStr">
        <is>
          <t>Cust 3853</t>
        </is>
      </c>
      <c r="P814" t="n">
        <v>29.64</v>
      </c>
      <c r="Q814" s="16" t="n">
        <v>45800</v>
      </c>
      <c r="R814" s="16" t="n">
        <v>45805</v>
      </c>
      <c r="S814" t="inlineStr">
        <is>
          <t>Eric</t>
        </is>
      </c>
      <c r="T814" t="inlineStr">
        <is>
          <t>2025-05</t>
        </is>
      </c>
    </row>
    <row r="815">
      <c r="A815" s="16" t="n">
        <v>45052</v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0.05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Cust 6830</t>
        </is>
      </c>
      <c r="P815" t="n">
        <v>26.12</v>
      </c>
      <c r="Q815" s="16" t="n">
        <v>45052</v>
      </c>
      <c r="R815" s="16" t="n">
        <v>45060</v>
      </c>
      <c r="S815" t="inlineStr">
        <is>
          <t>Eric</t>
        </is>
      </c>
      <c r="T815" t="inlineStr">
        <is>
          <t>2023-05</t>
        </is>
      </c>
    </row>
    <row r="816">
      <c r="A816" s="16" t="n">
        <v>45519</v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0.05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Cust 5351</t>
        </is>
      </c>
      <c r="P816" t="n">
        <v>23.29</v>
      </c>
      <c r="Q816" s="16" t="n">
        <v>45519</v>
      </c>
      <c r="R816" s="16" t="n">
        <v>45526</v>
      </c>
      <c r="S816" t="inlineStr">
        <is>
          <t>Sophie</t>
        </is>
      </c>
      <c r="T816" t="inlineStr">
        <is>
          <t>2024-08</t>
        </is>
      </c>
    </row>
    <row r="817">
      <c r="A817" s="16" t="n">
        <v>45161</v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B</t>
        </is>
      </c>
      <c r="G817" t="inlineStr">
        <is>
          <t>Wholesale</t>
        </is>
      </c>
      <c r="H817" t="n">
        <v>0.15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Cust 5845</t>
        </is>
      </c>
      <c r="P817" t="n">
        <v>19.17</v>
      </c>
      <c r="Q817" s="16" t="n">
        <v>45161</v>
      </c>
      <c r="R817" s="16" t="n">
        <v>45169</v>
      </c>
      <c r="S817" t="inlineStr">
        <is>
          <t>Sophie</t>
        </is>
      </c>
      <c r="T817" t="inlineStr">
        <is>
          <t>2023-08</t>
        </is>
      </c>
    </row>
    <row r="818">
      <c r="A818" s="16" t="n">
        <v>45760</v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B</t>
        </is>
      </c>
      <c r="G818" t="inlineStr">
        <is>
          <t>Retail</t>
        </is>
      </c>
      <c r="H818" t="n">
        <v>0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Cust 7004</t>
        </is>
      </c>
      <c r="P818" t="n">
        <v>21.15</v>
      </c>
      <c r="Q818" s="16" t="n">
        <v>45760</v>
      </c>
      <c r="R818" s="16" t="n">
        <v>45769</v>
      </c>
      <c r="S818" t="inlineStr">
        <is>
          <t>Sophie</t>
        </is>
      </c>
      <c r="T818" t="inlineStr">
        <is>
          <t>2025-04</t>
        </is>
      </c>
    </row>
    <row r="819">
      <c r="A819" s="16" t="n">
        <v>45454</v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B</t>
        </is>
      </c>
      <c r="G819" t="inlineStr">
        <is>
          <t>Wholesale</t>
        </is>
      </c>
      <c r="H819" t="n">
        <v>0.05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n">
        <v/>
      </c>
      <c r="M819" t="n">
        <v>0</v>
      </c>
      <c r="N819" t="inlineStr">
        <is>
          <t>REG100817</t>
        </is>
      </c>
      <c r="O819" t="inlineStr">
        <is>
          <t>Cust 4095</t>
        </is>
      </c>
      <c r="P819" t="n">
        <v>45.81</v>
      </c>
      <c r="Q819" s="16" t="n">
        <v>45454</v>
      </c>
      <c r="R819" s="16" t="n">
        <v>45460</v>
      </c>
      <c r="S819" t="inlineStr">
        <is>
          <t>Cameron</t>
        </is>
      </c>
      <c r="T819" t="inlineStr">
        <is>
          <t>2024-06</t>
        </is>
      </c>
    </row>
    <row r="820">
      <c r="A820" s="16" t="n">
        <v>45411</v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C</t>
        </is>
      </c>
      <c r="G820" t="inlineStr">
        <is>
          <t>Wholesale</t>
        </is>
      </c>
      <c r="H820" t="n">
        <v>0.1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n">
        <v/>
      </c>
      <c r="M820" t="n">
        <v>0</v>
      </c>
      <c r="N820" t="inlineStr">
        <is>
          <t>REG100818</t>
        </is>
      </c>
      <c r="O820" t="inlineStr">
        <is>
          <t>Cust 7833</t>
        </is>
      </c>
      <c r="P820" t="n">
        <v>21.99</v>
      </c>
      <c r="Q820" s="16" t="n">
        <v>45411</v>
      </c>
      <c r="R820" s="16" t="n">
        <v>45416</v>
      </c>
      <c r="S820" t="inlineStr">
        <is>
          <t>Sophie</t>
        </is>
      </c>
      <c r="T820" t="inlineStr">
        <is>
          <t>2024-04</t>
        </is>
      </c>
    </row>
    <row r="821">
      <c r="A821" s="16" t="n">
        <v>45012</v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0.1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Cust 5826</t>
        </is>
      </c>
      <c r="P821" t="n">
        <v>33.15</v>
      </c>
      <c r="Q821" s="16" t="n">
        <v>45012</v>
      </c>
      <c r="R821" s="16" t="n">
        <v>45020</v>
      </c>
      <c r="S821" t="inlineStr">
        <is>
          <t>Sophie</t>
        </is>
      </c>
      <c r="T821" t="inlineStr">
        <is>
          <t>2023-03</t>
        </is>
      </c>
    </row>
    <row r="822">
      <c r="A822" s="16" t="n">
        <v>45588</v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B</t>
        </is>
      </c>
      <c r="G822" t="inlineStr">
        <is>
          <t>Retail</t>
        </is>
      </c>
      <c r="H822" t="n">
        <v>0.1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n">
        <v/>
      </c>
      <c r="M822" t="n">
        <v>1</v>
      </c>
      <c r="N822" t="inlineStr">
        <is>
          <t>REG100820</t>
        </is>
      </c>
      <c r="O822" t="inlineStr">
        <is>
          <t>Cust 9410</t>
        </is>
      </c>
      <c r="P822" t="n">
        <v>5.16</v>
      </c>
      <c r="Q822" s="16" t="n">
        <v>45588</v>
      </c>
      <c r="R822" s="16" t="n">
        <v>45590</v>
      </c>
      <c r="S822" t="inlineStr">
        <is>
          <t>Ryan</t>
        </is>
      </c>
      <c r="T822" t="inlineStr">
        <is>
          <t>2024-10</t>
        </is>
      </c>
    </row>
    <row r="823">
      <c r="A823" s="16" t="n">
        <v>45098</v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C</t>
        </is>
      </c>
      <c r="G823" t="inlineStr">
        <is>
          <t>Retail</t>
        </is>
      </c>
      <c r="H823" t="n">
        <v>0.15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Cust 9397</t>
        </is>
      </c>
      <c r="P823" t="n">
        <v>13.16</v>
      </c>
      <c r="Q823" s="16" t="n">
        <v>45098</v>
      </c>
      <c r="R823" s="16" t="n">
        <v>45105</v>
      </c>
      <c r="S823" t="inlineStr">
        <is>
          <t>Ryan</t>
        </is>
      </c>
      <c r="T823" t="inlineStr">
        <is>
          <t>2023-06</t>
        </is>
      </c>
    </row>
    <row r="824">
      <c r="A824" s="16" t="n">
        <v>45058</v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A</t>
        </is>
      </c>
      <c r="G824" t="inlineStr">
        <is>
          <t>Wholesale</t>
        </is>
      </c>
      <c r="H824" t="n">
        <v>0.1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Cust 6665</t>
        </is>
      </c>
      <c r="P824" t="n">
        <v>23.43</v>
      </c>
      <c r="Q824" s="16" t="n">
        <v>45058</v>
      </c>
      <c r="R824" s="16" t="n">
        <v>45065</v>
      </c>
      <c r="S824" t="inlineStr">
        <is>
          <t>Cameron</t>
        </is>
      </c>
      <c r="T824" t="inlineStr">
        <is>
          <t>2023-05</t>
        </is>
      </c>
    </row>
    <row r="825">
      <c r="A825" s="16" t="n">
        <v>45585</v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B</t>
        </is>
      </c>
      <c r="G825" t="inlineStr">
        <is>
          <t>Retail</t>
        </is>
      </c>
      <c r="H825" t="n">
        <v>0.15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n">
        <v/>
      </c>
      <c r="M825" t="n">
        <v>1</v>
      </c>
      <c r="N825" t="inlineStr">
        <is>
          <t>REG100823</t>
        </is>
      </c>
      <c r="O825" t="inlineStr">
        <is>
          <t>Cust 2590</t>
        </is>
      </c>
      <c r="P825" t="n">
        <v>47.16</v>
      </c>
      <c r="Q825" s="16" t="n">
        <v>45585</v>
      </c>
      <c r="R825" s="16" t="n">
        <v>45589</v>
      </c>
      <c r="S825" t="inlineStr">
        <is>
          <t>Cameron</t>
        </is>
      </c>
      <c r="T825" t="inlineStr">
        <is>
          <t>2024-10</t>
        </is>
      </c>
    </row>
    <row r="826">
      <c r="A826" s="16" t="n">
        <v>45386</v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A</t>
        </is>
      </c>
      <c r="G826" t="inlineStr">
        <is>
          <t>Wholesale</t>
        </is>
      </c>
      <c r="H826" t="n">
        <v>0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Cust 4599</t>
        </is>
      </c>
      <c r="P826" t="n">
        <v>41.24</v>
      </c>
      <c r="Q826" s="16" t="n">
        <v>45386</v>
      </c>
      <c r="R826" s="16" t="n">
        <v>45389</v>
      </c>
      <c r="S826" t="inlineStr">
        <is>
          <t>Ryan</t>
        </is>
      </c>
      <c r="T826" t="inlineStr">
        <is>
          <t>2024-04</t>
        </is>
      </c>
    </row>
    <row r="827">
      <c r="A827" s="16" t="n">
        <v>45669</v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A</t>
        </is>
      </c>
      <c r="G827" t="inlineStr">
        <is>
          <t>Retail</t>
        </is>
      </c>
      <c r="H827" t="n">
        <v>0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Cust 7166</t>
        </is>
      </c>
      <c r="P827" t="n">
        <v>27.53</v>
      </c>
      <c r="Q827" s="16" t="n">
        <v>45669</v>
      </c>
      <c r="R827" s="16" t="n">
        <v>45673</v>
      </c>
      <c r="S827" t="inlineStr">
        <is>
          <t>Cameron</t>
        </is>
      </c>
      <c r="T827" t="inlineStr">
        <is>
          <t>2025-01</t>
        </is>
      </c>
    </row>
    <row r="828">
      <c r="A828" s="16" t="n">
        <v>45131</v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A</t>
        </is>
      </c>
      <c r="G828" t="inlineStr">
        <is>
          <t>Wholesale</t>
        </is>
      </c>
      <c r="H828" t="n">
        <v>0.05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Cust 6177</t>
        </is>
      </c>
      <c r="P828" t="n">
        <v>41.56</v>
      </c>
      <c r="Q828" s="16" t="n">
        <v>45131</v>
      </c>
      <c r="R828" s="16" t="n">
        <v>45136</v>
      </c>
      <c r="S828" t="inlineStr">
        <is>
          <t>Sophie</t>
        </is>
      </c>
      <c r="T828" t="inlineStr">
        <is>
          <t>2023-07</t>
        </is>
      </c>
    </row>
    <row r="829">
      <c r="A829" s="16" t="n">
        <v>45178</v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D</t>
        </is>
      </c>
      <c r="G829" t="inlineStr">
        <is>
          <t>Wholesale</t>
        </is>
      </c>
      <c r="H829" t="n">
        <v>0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Cust 6229</t>
        </is>
      </c>
      <c r="P829" t="n">
        <v>30.73</v>
      </c>
      <c r="Q829" s="16" t="n">
        <v>45178</v>
      </c>
      <c r="R829" s="16" t="n">
        <v>45182</v>
      </c>
      <c r="S829" t="inlineStr">
        <is>
          <t>Ryan</t>
        </is>
      </c>
      <c r="T829" t="inlineStr">
        <is>
          <t>2023-09</t>
        </is>
      </c>
    </row>
    <row r="830">
      <c r="A830" s="16" t="n">
        <v>45402</v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A</t>
        </is>
      </c>
      <c r="G830" t="inlineStr">
        <is>
          <t>Retail</t>
        </is>
      </c>
      <c r="H830" t="n">
        <v>0.15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n">
        <v/>
      </c>
      <c r="M830" t="n">
        <v>0</v>
      </c>
      <c r="N830" t="inlineStr">
        <is>
          <t>REG100828</t>
        </is>
      </c>
      <c r="O830" t="inlineStr">
        <is>
          <t>Cust 2899</t>
        </is>
      </c>
      <c r="P830" t="n">
        <v>16.82</v>
      </c>
      <c r="Q830" s="16" t="n">
        <v>45402</v>
      </c>
      <c r="R830" s="16" t="n">
        <v>45409</v>
      </c>
      <c r="S830" t="inlineStr">
        <is>
          <t>Eric</t>
        </is>
      </c>
      <c r="T830" t="inlineStr">
        <is>
          <t>2024-04</t>
        </is>
      </c>
    </row>
    <row r="831">
      <c r="A831" s="16" t="n">
        <v>45694</v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A</t>
        </is>
      </c>
      <c r="G831" t="inlineStr">
        <is>
          <t>Retail</t>
        </is>
      </c>
      <c r="H831" t="n">
        <v>0.05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Cust 5322</t>
        </is>
      </c>
      <c r="P831" t="n">
        <v>29.22</v>
      </c>
      <c r="Q831" s="16" t="n">
        <v>45694</v>
      </c>
      <c r="R831" s="16" t="n">
        <v>45702</v>
      </c>
      <c r="S831" t="inlineStr">
        <is>
          <t>Wendy</t>
        </is>
      </c>
      <c r="T831" t="inlineStr">
        <is>
          <t>2025-02</t>
        </is>
      </c>
    </row>
    <row r="832">
      <c r="A832" s="16" t="n">
        <v>45095</v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C</t>
        </is>
      </c>
      <c r="G832" t="inlineStr">
        <is>
          <t>Wholesale</t>
        </is>
      </c>
      <c r="H832" t="n">
        <v>0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n">
        <v/>
      </c>
      <c r="M832" t="n">
        <v>0</v>
      </c>
      <c r="N832" t="inlineStr">
        <is>
          <t>REG100830</t>
        </is>
      </c>
      <c r="O832" t="inlineStr">
        <is>
          <t>Cust 7063</t>
        </is>
      </c>
      <c r="P832" t="n">
        <v>31.31</v>
      </c>
      <c r="Q832" s="16" t="n">
        <v>45095</v>
      </c>
      <c r="R832" s="16" t="n">
        <v>45099</v>
      </c>
      <c r="S832" t="inlineStr">
        <is>
          <t>Wendy</t>
        </is>
      </c>
      <c r="T832" t="inlineStr">
        <is>
          <t>2023-06</t>
        </is>
      </c>
    </row>
    <row r="833">
      <c r="A833" s="16" t="n">
        <v>45597</v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C</t>
        </is>
      </c>
      <c r="G833" t="inlineStr">
        <is>
          <t>Wholesale</t>
        </is>
      </c>
      <c r="H833" t="n">
        <v>0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Cust 7487</t>
        </is>
      </c>
      <c r="P833" t="n">
        <v>37.37</v>
      </c>
      <c r="Q833" s="16" t="n">
        <v>45597</v>
      </c>
      <c r="R833" s="16" t="n">
        <v>45604</v>
      </c>
      <c r="S833" t="inlineStr">
        <is>
          <t>Ryan</t>
        </is>
      </c>
      <c r="T833" t="inlineStr">
        <is>
          <t>2024-11</t>
        </is>
      </c>
    </row>
    <row r="834">
      <c r="A834" s="16" t="n">
        <v>45516</v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C</t>
        </is>
      </c>
      <c r="G834" t="inlineStr">
        <is>
          <t>Wholesale</t>
        </is>
      </c>
      <c r="H834" t="n">
        <v>0.15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Cust 5481</t>
        </is>
      </c>
      <c r="P834" t="n">
        <v>21.22</v>
      </c>
      <c r="Q834" s="16" t="n">
        <v>45516</v>
      </c>
      <c r="R834" s="16" t="n">
        <v>45525</v>
      </c>
      <c r="S834" t="inlineStr">
        <is>
          <t>Wendy</t>
        </is>
      </c>
      <c r="T834" t="inlineStr">
        <is>
          <t>2024-08</t>
        </is>
      </c>
    </row>
    <row r="835">
      <c r="A835" s="16" t="n">
        <v>45755</v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D</t>
        </is>
      </c>
      <c r="G835" t="inlineStr">
        <is>
          <t>Retail</t>
        </is>
      </c>
      <c r="H835" t="n">
        <v>0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Cust 3150</t>
        </is>
      </c>
      <c r="P835" t="n">
        <v>21.04</v>
      </c>
      <c r="Q835" s="16" t="n">
        <v>45755</v>
      </c>
      <c r="R835" s="16" t="n">
        <v>45764</v>
      </c>
      <c r="S835" t="inlineStr">
        <is>
          <t>Cameron</t>
        </is>
      </c>
      <c r="T835" t="inlineStr">
        <is>
          <t>2025-04</t>
        </is>
      </c>
    </row>
    <row r="836">
      <c r="A836" s="16" t="n">
        <v>45493</v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0.15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n">
        <v/>
      </c>
      <c r="M836" t="n">
        <v>0</v>
      </c>
      <c r="N836" t="inlineStr">
        <is>
          <t>REG100834</t>
        </is>
      </c>
      <c r="O836" t="inlineStr">
        <is>
          <t>Cust 5099</t>
        </is>
      </c>
      <c r="P836" t="n">
        <v>36.9</v>
      </c>
      <c r="Q836" s="16" t="n">
        <v>45493</v>
      </c>
      <c r="R836" s="16" t="n">
        <v>45499</v>
      </c>
      <c r="S836" t="inlineStr">
        <is>
          <t>Cameron</t>
        </is>
      </c>
      <c r="T836" t="inlineStr">
        <is>
          <t>2024-07</t>
        </is>
      </c>
    </row>
    <row r="837">
      <c r="A837" s="16" t="n">
        <v>44974</v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0.05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n">
        <v/>
      </c>
      <c r="M837" t="n">
        <v>0</v>
      </c>
      <c r="N837" t="inlineStr">
        <is>
          <t>REG100835</t>
        </is>
      </c>
      <c r="O837" t="inlineStr">
        <is>
          <t>Cust 6615</t>
        </is>
      </c>
      <c r="P837" t="n">
        <v>22.34</v>
      </c>
      <c r="Q837" s="16" t="n">
        <v>44974</v>
      </c>
      <c r="R837" s="16" t="n">
        <v>44978</v>
      </c>
      <c r="S837" t="inlineStr">
        <is>
          <t>Wendy</t>
        </is>
      </c>
      <c r="T837" t="inlineStr">
        <is>
          <t>2023-02</t>
        </is>
      </c>
    </row>
    <row r="838">
      <c r="A838" s="16" t="n">
        <v>45475</v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D</t>
        </is>
      </c>
      <c r="G838" t="inlineStr">
        <is>
          <t>Retail</t>
        </is>
      </c>
      <c r="H838" t="n">
        <v>0.05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Cust 6924</t>
        </is>
      </c>
      <c r="P838" t="n">
        <v>20.64</v>
      </c>
      <c r="Q838" s="16" t="n">
        <v>45475</v>
      </c>
      <c r="R838" s="16" t="n">
        <v>45477</v>
      </c>
      <c r="S838" t="inlineStr">
        <is>
          <t>Eric</t>
        </is>
      </c>
      <c r="T838" t="inlineStr">
        <is>
          <t>2024-07</t>
        </is>
      </c>
    </row>
    <row r="839">
      <c r="A839" s="16" t="n">
        <v>45748</v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0.15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Cust 2411</t>
        </is>
      </c>
      <c r="P839" t="n">
        <v>49.08</v>
      </c>
      <c r="Q839" s="16" t="n">
        <v>45748</v>
      </c>
      <c r="R839" s="16" t="n">
        <v>45751</v>
      </c>
      <c r="S839" t="inlineStr">
        <is>
          <t>Ryan</t>
        </is>
      </c>
      <c r="T839" t="inlineStr">
        <is>
          <t>2025-04</t>
        </is>
      </c>
    </row>
    <row r="840">
      <c r="A840" s="16" t="n">
        <v>45810</v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C</t>
        </is>
      </c>
      <c r="G840" t="inlineStr">
        <is>
          <t>Wholesale</t>
        </is>
      </c>
      <c r="H840" t="n">
        <v>0.15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Cust 9648</t>
        </is>
      </c>
      <c r="P840" t="n">
        <v>15.3</v>
      </c>
      <c r="Q840" s="16" t="n">
        <v>45810</v>
      </c>
      <c r="R840" s="16" t="n">
        <v>45817</v>
      </c>
      <c r="S840" t="inlineStr">
        <is>
          <t>Sophie</t>
        </is>
      </c>
      <c r="T840" t="inlineStr">
        <is>
          <t>2025-06</t>
        </is>
      </c>
    </row>
    <row r="841">
      <c r="A841" s="16" t="n">
        <v>45617</v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0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n">
        <v/>
      </c>
      <c r="M841" t="n">
        <v>0</v>
      </c>
      <c r="N841" t="inlineStr">
        <is>
          <t>REG100839</t>
        </is>
      </c>
      <c r="O841" t="inlineStr">
        <is>
          <t>Cust 1974</t>
        </is>
      </c>
      <c r="P841" t="n">
        <v>20.83</v>
      </c>
      <c r="Q841" s="16" t="n">
        <v>45617</v>
      </c>
      <c r="R841" s="16" t="n">
        <v>45625</v>
      </c>
      <c r="S841" t="inlineStr">
        <is>
          <t>Wendy</t>
        </is>
      </c>
      <c r="T841" t="inlineStr">
        <is>
          <t>2024-11</t>
        </is>
      </c>
    </row>
    <row r="842">
      <c r="A842" s="16" t="n">
        <v>45301</v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A</t>
        </is>
      </c>
      <c r="G842" t="inlineStr">
        <is>
          <t>Retail</t>
        </is>
      </c>
      <c r="H842" t="n">
        <v>0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Cust 9452</t>
        </is>
      </c>
      <c r="P842" t="n">
        <v>19.38</v>
      </c>
      <c r="Q842" s="16" t="n">
        <v>45301</v>
      </c>
      <c r="R842" s="16" t="n">
        <v>45305</v>
      </c>
      <c r="S842" t="inlineStr">
        <is>
          <t>Sophie</t>
        </is>
      </c>
      <c r="T842" t="inlineStr">
        <is>
          <t>2024-01</t>
        </is>
      </c>
    </row>
    <row r="843">
      <c r="A843" s="16" t="n">
        <v>45220</v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A</t>
        </is>
      </c>
      <c r="G843" t="inlineStr">
        <is>
          <t>Retail</t>
        </is>
      </c>
      <c r="H843" t="n">
        <v>0.15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n">
        <v/>
      </c>
      <c r="M843" t="n">
        <v>0</v>
      </c>
      <c r="N843" t="inlineStr">
        <is>
          <t>REG100841</t>
        </is>
      </c>
      <c r="O843" t="inlineStr">
        <is>
          <t>Cust 4558</t>
        </is>
      </c>
      <c r="P843" t="n">
        <v>43.56</v>
      </c>
      <c r="Q843" s="16" t="n">
        <v>45220</v>
      </c>
      <c r="R843" s="16" t="n">
        <v>45225</v>
      </c>
      <c r="S843" t="inlineStr">
        <is>
          <t>Ryan</t>
        </is>
      </c>
      <c r="T843" t="inlineStr">
        <is>
          <t>2023-10</t>
        </is>
      </c>
    </row>
    <row r="844">
      <c r="A844" s="16" t="n">
        <v>45677</v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B</t>
        </is>
      </c>
      <c r="G844" t="inlineStr">
        <is>
          <t>Retail</t>
        </is>
      </c>
      <c r="H844" t="n">
        <v>0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Cust 8811</t>
        </is>
      </c>
      <c r="P844" t="n">
        <v>25.49</v>
      </c>
      <c r="Q844" s="16" t="n">
        <v>45677</v>
      </c>
      <c r="R844" s="16" t="n">
        <v>45679</v>
      </c>
      <c r="S844" t="inlineStr">
        <is>
          <t>Ryan</t>
        </is>
      </c>
      <c r="T844" t="inlineStr">
        <is>
          <t>2025-01</t>
        </is>
      </c>
    </row>
    <row r="845">
      <c r="A845" s="16" t="n">
        <v>45605</v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D</t>
        </is>
      </c>
      <c r="G845" t="inlineStr">
        <is>
          <t>Wholesale</t>
        </is>
      </c>
      <c r="H845" t="n">
        <v>0.05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Cust 7788</t>
        </is>
      </c>
      <c r="P845" t="n">
        <v>23.4</v>
      </c>
      <c r="Q845" s="16" t="n">
        <v>45605</v>
      </c>
      <c r="R845" s="16" t="n">
        <v>45613</v>
      </c>
      <c r="S845" t="inlineStr">
        <is>
          <t>Wendy</t>
        </is>
      </c>
      <c r="T845" t="inlineStr">
        <is>
          <t>2024-11</t>
        </is>
      </c>
    </row>
    <row r="846">
      <c r="A846" s="16" t="n">
        <v>45385</v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D</t>
        </is>
      </c>
      <c r="G846" t="inlineStr">
        <is>
          <t>Retail</t>
        </is>
      </c>
      <c r="H846" t="n">
        <v>0.05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Cust 2788</t>
        </is>
      </c>
      <c r="P846" t="n">
        <v>19.5</v>
      </c>
      <c r="Q846" s="16" t="n">
        <v>45385</v>
      </c>
      <c r="R846" s="16" t="n">
        <v>45389</v>
      </c>
      <c r="S846" t="inlineStr">
        <is>
          <t>Wendy</t>
        </is>
      </c>
      <c r="T846" t="inlineStr">
        <is>
          <t>2024-04</t>
        </is>
      </c>
    </row>
    <row r="847">
      <c r="A847" s="16" t="n">
        <v>45297</v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D</t>
        </is>
      </c>
      <c r="G847" t="inlineStr">
        <is>
          <t>Wholesale</t>
        </is>
      </c>
      <c r="H847" t="n">
        <v>0.15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Cust 6621</t>
        </is>
      </c>
      <c r="P847" t="n">
        <v>26.04</v>
      </c>
      <c r="Q847" s="16" t="n">
        <v>45297</v>
      </c>
      <c r="R847" s="16" t="n">
        <v>45299</v>
      </c>
      <c r="S847" t="inlineStr">
        <is>
          <t>Ryan</t>
        </is>
      </c>
      <c r="T847" t="inlineStr">
        <is>
          <t>2024-01</t>
        </is>
      </c>
    </row>
    <row r="848">
      <c r="A848" s="16" t="n">
        <v>45140</v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A</t>
        </is>
      </c>
      <c r="G848" t="inlineStr">
        <is>
          <t>Wholesale</t>
        </is>
      </c>
      <c r="H848" t="n">
        <v>0.05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Cust 8575</t>
        </is>
      </c>
      <c r="P848" t="n">
        <v>17.01</v>
      </c>
      <c r="Q848" s="16" t="n">
        <v>45140</v>
      </c>
      <c r="R848" s="16" t="n">
        <v>45143</v>
      </c>
      <c r="S848" t="inlineStr">
        <is>
          <t>Cameron</t>
        </is>
      </c>
      <c r="T848" t="inlineStr">
        <is>
          <t>2023-08</t>
        </is>
      </c>
    </row>
    <row r="849">
      <c r="A849" s="16" t="n">
        <v>45256</v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A</t>
        </is>
      </c>
      <c r="G849" t="inlineStr">
        <is>
          <t>Retail</t>
        </is>
      </c>
      <c r="H849" t="n">
        <v>0.15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Cust 8799</t>
        </is>
      </c>
      <c r="P849" t="n">
        <v>32.94</v>
      </c>
      <c r="Q849" s="16" t="n">
        <v>45256</v>
      </c>
      <c r="R849" s="16" t="n">
        <v>45261</v>
      </c>
      <c r="S849" t="inlineStr">
        <is>
          <t>Ryan</t>
        </is>
      </c>
      <c r="T849" t="inlineStr">
        <is>
          <t>2023-11</t>
        </is>
      </c>
    </row>
    <row r="850">
      <c r="A850" s="16" t="n">
        <v>45767</v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0.05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n">
        <v/>
      </c>
      <c r="M850" t="n">
        <v>0</v>
      </c>
      <c r="N850" t="inlineStr">
        <is>
          <t>REG100848</t>
        </is>
      </c>
      <c r="O850" t="inlineStr">
        <is>
          <t>Cust 1699</t>
        </is>
      </c>
      <c r="P850" t="n">
        <v>45.76</v>
      </c>
      <c r="Q850" s="16" t="n">
        <v>45767</v>
      </c>
      <c r="R850" s="16" t="n">
        <v>45773</v>
      </c>
      <c r="S850" t="inlineStr">
        <is>
          <t>Eric</t>
        </is>
      </c>
      <c r="T850" t="inlineStr">
        <is>
          <t>2025-04</t>
        </is>
      </c>
    </row>
    <row r="851">
      <c r="A851" s="16" t="n">
        <v>45289</v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A</t>
        </is>
      </c>
      <c r="G851" t="inlineStr">
        <is>
          <t>Wholesale</t>
        </is>
      </c>
      <c r="H851" t="n">
        <v>0.15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Cust 5606</t>
        </is>
      </c>
      <c r="P851" t="n">
        <v>37.49</v>
      </c>
      <c r="Q851" s="16" t="n">
        <v>45289</v>
      </c>
      <c r="R851" s="16" t="n">
        <v>45296</v>
      </c>
      <c r="S851" t="inlineStr">
        <is>
          <t>Sophie</t>
        </is>
      </c>
      <c r="T851" t="inlineStr">
        <is>
          <t>2023-12</t>
        </is>
      </c>
    </row>
    <row r="852">
      <c r="A852" s="16" t="n">
        <v>45665</v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C</t>
        </is>
      </c>
      <c r="G852" t="inlineStr">
        <is>
          <t>Retail</t>
        </is>
      </c>
      <c r="H852" t="n">
        <v>0.05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n">
        <v/>
      </c>
      <c r="M852" t="n">
        <v>0</v>
      </c>
      <c r="N852" t="inlineStr">
        <is>
          <t>REG100850</t>
        </is>
      </c>
      <c r="O852" t="inlineStr">
        <is>
          <t>Cust 4933</t>
        </is>
      </c>
      <c r="P852" t="n">
        <v>44.95</v>
      </c>
      <c r="Q852" s="16" t="n">
        <v>45665</v>
      </c>
      <c r="R852" s="16" t="n">
        <v>45667</v>
      </c>
      <c r="S852" t="inlineStr">
        <is>
          <t>Cameron</t>
        </is>
      </c>
      <c r="T852" t="inlineStr">
        <is>
          <t>2025-01</t>
        </is>
      </c>
    </row>
    <row r="853">
      <c r="A853" s="16" t="n">
        <v>45418</v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B</t>
        </is>
      </c>
      <c r="G853" t="inlineStr">
        <is>
          <t>Retail</t>
        </is>
      </c>
      <c r="H853" t="n">
        <v>0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Cust 9517</t>
        </is>
      </c>
      <c r="P853" t="n">
        <v>20.37</v>
      </c>
      <c r="Q853" s="16" t="n">
        <v>45418</v>
      </c>
      <c r="R853" s="16" t="n">
        <v>45426</v>
      </c>
      <c r="S853" t="inlineStr">
        <is>
          <t>Eric</t>
        </is>
      </c>
      <c r="T853" t="inlineStr">
        <is>
          <t>2024-05</t>
        </is>
      </c>
    </row>
    <row r="854">
      <c r="A854" s="16" t="n">
        <v>45550</v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D</t>
        </is>
      </c>
      <c r="G854" t="inlineStr">
        <is>
          <t>Wholesale</t>
        </is>
      </c>
      <c r="H854" t="n">
        <v>0.05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n">
        <v/>
      </c>
      <c r="M854" t="n">
        <v>0</v>
      </c>
      <c r="N854" t="inlineStr">
        <is>
          <t>REG100852</t>
        </is>
      </c>
      <c r="O854" t="inlineStr">
        <is>
          <t>Cust 6740</t>
        </is>
      </c>
      <c r="P854" t="n">
        <v>13.54</v>
      </c>
      <c r="Q854" s="16" t="n">
        <v>45550</v>
      </c>
      <c r="R854" s="16" t="n">
        <v>45555</v>
      </c>
      <c r="S854" t="inlineStr">
        <is>
          <t>Ryan</t>
        </is>
      </c>
      <c r="T854" t="inlineStr">
        <is>
          <t>2024-09</t>
        </is>
      </c>
    </row>
    <row r="855">
      <c r="A855" s="16" t="n">
        <v>44964</v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A</t>
        </is>
      </c>
      <c r="G855" t="inlineStr">
        <is>
          <t>Retail</t>
        </is>
      </c>
      <c r="H855" t="n">
        <v>0.1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Cust 1301</t>
        </is>
      </c>
      <c r="P855" t="n">
        <v>30.67</v>
      </c>
      <c r="Q855" s="16" t="n">
        <v>44964</v>
      </c>
      <c r="R855" s="16" t="n">
        <v>44969</v>
      </c>
      <c r="S855" t="inlineStr">
        <is>
          <t>Wendy</t>
        </is>
      </c>
      <c r="T855" t="inlineStr">
        <is>
          <t>2023-02</t>
        </is>
      </c>
    </row>
    <row r="856">
      <c r="A856" s="16" t="n">
        <v>44986</v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0.05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Cust 1736</t>
        </is>
      </c>
      <c r="P856" t="n">
        <v>11.35</v>
      </c>
      <c r="Q856" s="16" t="n">
        <v>44986</v>
      </c>
      <c r="R856" s="16" t="n">
        <v>44994</v>
      </c>
      <c r="S856" t="inlineStr">
        <is>
          <t>Eric</t>
        </is>
      </c>
      <c r="T856" t="inlineStr">
        <is>
          <t>2023-03</t>
        </is>
      </c>
    </row>
    <row r="857">
      <c r="A857" s="16" t="n">
        <v>45420</v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D</t>
        </is>
      </c>
      <c r="G857" t="inlineStr">
        <is>
          <t>Retail</t>
        </is>
      </c>
      <c r="H857" t="n">
        <v>0.15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Cust 6864</t>
        </is>
      </c>
      <c r="P857" t="n">
        <v>44.99</v>
      </c>
      <c r="Q857" s="16" t="n">
        <v>45420</v>
      </c>
      <c r="R857" s="16" t="n">
        <v>45424</v>
      </c>
      <c r="S857" t="inlineStr">
        <is>
          <t>Ryan</t>
        </is>
      </c>
      <c r="T857" t="inlineStr">
        <is>
          <t>2024-05</t>
        </is>
      </c>
    </row>
    <row r="858">
      <c r="A858" s="16" t="n">
        <v>45449</v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A</t>
        </is>
      </c>
      <c r="G858" t="inlineStr">
        <is>
          <t>Retail</t>
        </is>
      </c>
      <c r="H858" t="n">
        <v>0.1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Cust 5207</t>
        </is>
      </c>
      <c r="P858" t="n">
        <v>33.79</v>
      </c>
      <c r="Q858" s="16" t="n">
        <v>45449</v>
      </c>
      <c r="R858" s="16" t="n">
        <v>45451</v>
      </c>
      <c r="S858" t="inlineStr">
        <is>
          <t>Eric</t>
        </is>
      </c>
      <c r="T858" t="inlineStr">
        <is>
          <t>2024-06</t>
        </is>
      </c>
    </row>
    <row r="859">
      <c r="A859" s="16" t="n">
        <v>45045</v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D</t>
        </is>
      </c>
      <c r="G859" t="inlineStr">
        <is>
          <t>Retail</t>
        </is>
      </c>
      <c r="H859" t="n">
        <v>0.15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Cust 6525</t>
        </is>
      </c>
      <c r="P859" t="n">
        <v>26.56</v>
      </c>
      <c r="Q859" s="16" t="n">
        <v>45045</v>
      </c>
      <c r="R859" s="16" t="n">
        <v>45054</v>
      </c>
      <c r="S859" t="inlineStr">
        <is>
          <t>Ryan</t>
        </is>
      </c>
      <c r="T859" t="inlineStr">
        <is>
          <t>2023-04</t>
        </is>
      </c>
    </row>
    <row r="860">
      <c r="A860" s="16" t="n">
        <v>45189</v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0.05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n">
        <v/>
      </c>
      <c r="M860" t="n">
        <v>0</v>
      </c>
      <c r="N860" t="inlineStr">
        <is>
          <t>REG100858</t>
        </is>
      </c>
      <c r="O860" t="inlineStr">
        <is>
          <t>Cust 8298</t>
        </is>
      </c>
      <c r="P860" t="n">
        <v>42.3</v>
      </c>
      <c r="Q860" s="16" t="n">
        <v>45189</v>
      </c>
      <c r="R860" s="16" t="n">
        <v>45191</v>
      </c>
      <c r="S860" t="inlineStr">
        <is>
          <t>Cameron</t>
        </is>
      </c>
      <c r="T860" t="inlineStr">
        <is>
          <t>2023-09</t>
        </is>
      </c>
    </row>
    <row r="861">
      <c r="A861" s="16" t="n">
        <v>45604</v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B</t>
        </is>
      </c>
      <c r="G861" t="inlineStr">
        <is>
          <t>Retail</t>
        </is>
      </c>
      <c r="H861" t="n">
        <v>0.05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Cust 8204</t>
        </is>
      </c>
      <c r="P861" t="n">
        <v>33.71</v>
      </c>
      <c r="Q861" s="16" t="n">
        <v>45604</v>
      </c>
      <c r="R861" s="16" t="n">
        <v>45609</v>
      </c>
      <c r="S861" t="inlineStr">
        <is>
          <t>Sophie</t>
        </is>
      </c>
      <c r="T861" t="inlineStr">
        <is>
          <t>2024-11</t>
        </is>
      </c>
    </row>
    <row r="862">
      <c r="A862" s="16" t="n">
        <v>45007</v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A</t>
        </is>
      </c>
      <c r="G862" t="inlineStr">
        <is>
          <t>Retail</t>
        </is>
      </c>
      <c r="H862" t="n">
        <v>0.15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Cust 4035</t>
        </is>
      </c>
      <c r="P862" t="n">
        <v>5.59</v>
      </c>
      <c r="Q862" s="16" t="n">
        <v>45007</v>
      </c>
      <c r="R862" s="16" t="n">
        <v>45015</v>
      </c>
      <c r="S862" t="inlineStr">
        <is>
          <t>Ryan</t>
        </is>
      </c>
      <c r="T862" t="inlineStr">
        <is>
          <t>2023-03</t>
        </is>
      </c>
    </row>
    <row r="863">
      <c r="A863" s="16" t="n">
        <v>45174</v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C</t>
        </is>
      </c>
      <c r="G863" t="inlineStr">
        <is>
          <t>Retail</t>
        </is>
      </c>
      <c r="H863" t="n">
        <v>0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Cust 1654</t>
        </is>
      </c>
      <c r="P863" t="n">
        <v>19.55</v>
      </c>
      <c r="Q863" s="16" t="n">
        <v>45174</v>
      </c>
      <c r="R863" s="16" t="n">
        <v>45182</v>
      </c>
      <c r="S863" t="inlineStr">
        <is>
          <t>Eric</t>
        </is>
      </c>
      <c r="T863" t="inlineStr">
        <is>
          <t>2023-09</t>
        </is>
      </c>
    </row>
    <row r="864">
      <c r="A864" s="16" t="n">
        <v>44983</v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D</t>
        </is>
      </c>
      <c r="G864" t="inlineStr">
        <is>
          <t>Retail</t>
        </is>
      </c>
      <c r="H864" t="n">
        <v>0.05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Cust 1823</t>
        </is>
      </c>
      <c r="P864" t="n">
        <v>13.42</v>
      </c>
      <c r="Q864" s="16" t="n">
        <v>44983</v>
      </c>
      <c r="R864" s="16" t="n">
        <v>44990</v>
      </c>
      <c r="S864" t="inlineStr">
        <is>
          <t>Eric</t>
        </is>
      </c>
      <c r="T864" t="inlineStr">
        <is>
          <t>2023-02</t>
        </is>
      </c>
    </row>
    <row r="865">
      <c r="A865" s="16" t="n">
        <v>45622</v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D</t>
        </is>
      </c>
      <c r="G865" t="inlineStr">
        <is>
          <t>Retail</t>
        </is>
      </c>
      <c r="H865" t="n">
        <v>0.15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Cust 1423</t>
        </is>
      </c>
      <c r="P865" t="n">
        <v>19.81</v>
      </c>
      <c r="Q865" s="16" t="n">
        <v>45622</v>
      </c>
      <c r="R865" s="16" t="n">
        <v>45625</v>
      </c>
      <c r="S865" t="inlineStr">
        <is>
          <t>Wendy</t>
        </is>
      </c>
      <c r="T865" t="inlineStr">
        <is>
          <t>2024-11</t>
        </is>
      </c>
    </row>
    <row r="866">
      <c r="A866" s="16" t="n">
        <v>45579</v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C</t>
        </is>
      </c>
      <c r="G866" t="inlineStr">
        <is>
          <t>Retail</t>
        </is>
      </c>
      <c r="H866" t="n">
        <v>0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n">
        <v/>
      </c>
      <c r="M866" t="n">
        <v>1</v>
      </c>
      <c r="N866" t="inlineStr">
        <is>
          <t>REG100864</t>
        </is>
      </c>
      <c r="O866" t="inlineStr">
        <is>
          <t>Cust 7282</t>
        </is>
      </c>
      <c r="P866" t="n">
        <v>25.36</v>
      </c>
      <c r="Q866" s="16" t="n">
        <v>45579</v>
      </c>
      <c r="R866" s="16" t="n">
        <v>45582</v>
      </c>
      <c r="S866" t="inlineStr">
        <is>
          <t>Cameron</t>
        </is>
      </c>
      <c r="T866" t="inlineStr">
        <is>
          <t>2024-10</t>
        </is>
      </c>
    </row>
    <row r="867">
      <c r="A867" s="16" t="n">
        <v>45075</v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0.1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Cust 8437</t>
        </is>
      </c>
      <c r="P867" t="n">
        <v>24.85</v>
      </c>
      <c r="Q867" s="16" t="n">
        <v>45075</v>
      </c>
      <c r="R867" s="16" t="n">
        <v>45080</v>
      </c>
      <c r="S867" t="inlineStr">
        <is>
          <t>Cameron</t>
        </is>
      </c>
      <c r="T867" t="inlineStr">
        <is>
          <t>2023-05</t>
        </is>
      </c>
    </row>
    <row r="868">
      <c r="A868" s="16" t="n">
        <v>45373</v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B</t>
        </is>
      </c>
      <c r="G868" t="inlineStr">
        <is>
          <t>Retail</t>
        </is>
      </c>
      <c r="H868" t="n">
        <v>0.15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n">
        <v/>
      </c>
      <c r="M868" t="n">
        <v>0</v>
      </c>
      <c r="N868" t="inlineStr">
        <is>
          <t>REG100866</t>
        </is>
      </c>
      <c r="O868" t="inlineStr">
        <is>
          <t>Cust 9508</t>
        </is>
      </c>
      <c r="P868" t="n">
        <v>45.32</v>
      </c>
      <c r="Q868" s="16" t="n">
        <v>45373</v>
      </c>
      <c r="R868" s="16" t="n">
        <v>45382</v>
      </c>
      <c r="S868" t="inlineStr">
        <is>
          <t>Cameron</t>
        </is>
      </c>
      <c r="T868" t="inlineStr">
        <is>
          <t>2024-03</t>
        </is>
      </c>
    </row>
    <row r="869">
      <c r="A869" s="16" t="n">
        <v>45038</v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D</t>
        </is>
      </c>
      <c r="G869" t="inlineStr">
        <is>
          <t>Wholesale</t>
        </is>
      </c>
      <c r="H869" t="n">
        <v>0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Cust 1186</t>
        </is>
      </c>
      <c r="P869" t="n">
        <v>45.83</v>
      </c>
      <c r="Q869" s="16" t="n">
        <v>45038</v>
      </c>
      <c r="R869" s="16" t="n">
        <v>45048</v>
      </c>
      <c r="S869" t="inlineStr">
        <is>
          <t>Sophie</t>
        </is>
      </c>
      <c r="T869" t="inlineStr">
        <is>
          <t>2023-04</t>
        </is>
      </c>
    </row>
    <row r="870">
      <c r="A870" s="16" t="n">
        <v>45814</v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C</t>
        </is>
      </c>
      <c r="G870" t="inlineStr">
        <is>
          <t>Retail</t>
        </is>
      </c>
      <c r="H870" t="n">
        <v>0.05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Cust 4362</t>
        </is>
      </c>
      <c r="P870" t="n">
        <v>46.73</v>
      </c>
      <c r="Q870" s="16" t="n">
        <v>45814</v>
      </c>
      <c r="R870" s="16" t="n">
        <v>45820</v>
      </c>
      <c r="S870" t="inlineStr">
        <is>
          <t>Ryan</t>
        </is>
      </c>
      <c r="T870" t="inlineStr">
        <is>
          <t>2025-06</t>
        </is>
      </c>
    </row>
    <row r="871">
      <c r="A871" s="16" t="n">
        <v>44951</v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Cust 9388</t>
        </is>
      </c>
      <c r="P871" t="n">
        <v>35.84</v>
      </c>
      <c r="Q871" s="16" t="n">
        <v>44951</v>
      </c>
      <c r="R871" s="16" t="n">
        <v>44955</v>
      </c>
      <c r="S871" t="inlineStr">
        <is>
          <t>Cameron</t>
        </is>
      </c>
      <c r="T871" t="inlineStr">
        <is>
          <t>2023-01</t>
        </is>
      </c>
    </row>
    <row r="872">
      <c r="A872" s="16" t="n">
        <v>45177</v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D</t>
        </is>
      </c>
      <c r="G872" t="inlineStr">
        <is>
          <t>Wholesale</t>
        </is>
      </c>
      <c r="H872" t="n">
        <v>0.1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Cust 4015</t>
        </is>
      </c>
      <c r="P872" t="n">
        <v>44.76</v>
      </c>
      <c r="Q872" s="16" t="n">
        <v>45177</v>
      </c>
      <c r="R872" s="16" t="n">
        <v>45179</v>
      </c>
      <c r="S872" t="inlineStr">
        <is>
          <t>Sophie</t>
        </is>
      </c>
      <c r="T872" t="inlineStr">
        <is>
          <t>2023-09</t>
        </is>
      </c>
    </row>
    <row r="873">
      <c r="A873" s="16" t="n">
        <v>45569</v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D</t>
        </is>
      </c>
      <c r="G873" t="inlineStr">
        <is>
          <t>Retail</t>
        </is>
      </c>
      <c r="H873" t="n">
        <v>0.15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Cust 6428</t>
        </is>
      </c>
      <c r="P873" t="n">
        <v>25.06</v>
      </c>
      <c r="Q873" s="16" t="n">
        <v>45569</v>
      </c>
      <c r="R873" s="16" t="n">
        <v>45576</v>
      </c>
      <c r="S873" t="inlineStr">
        <is>
          <t>Eric</t>
        </is>
      </c>
      <c r="T873" t="inlineStr">
        <is>
          <t>2024-10</t>
        </is>
      </c>
    </row>
    <row r="874">
      <c r="A874" s="16" t="n">
        <v>45753</v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D</t>
        </is>
      </c>
      <c r="G874" t="inlineStr">
        <is>
          <t>Retail</t>
        </is>
      </c>
      <c r="H874" t="n">
        <v>0.15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Cust 2570</t>
        </is>
      </c>
      <c r="P874" t="n">
        <v>43.18</v>
      </c>
      <c r="Q874" s="16" t="n">
        <v>45753</v>
      </c>
      <c r="R874" s="16" t="n">
        <v>45755</v>
      </c>
      <c r="S874" t="inlineStr">
        <is>
          <t>Eric</t>
        </is>
      </c>
      <c r="T874" t="inlineStr">
        <is>
          <t>2025-04</t>
        </is>
      </c>
    </row>
    <row r="875">
      <c r="A875" s="16" t="n">
        <v>45529</v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A</t>
        </is>
      </c>
      <c r="G875" t="inlineStr">
        <is>
          <t>Retail</t>
        </is>
      </c>
      <c r="H875" t="n">
        <v>0.15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Cust 5132</t>
        </is>
      </c>
      <c r="P875" t="n">
        <v>33.44</v>
      </c>
      <c r="Q875" s="16" t="n">
        <v>45529</v>
      </c>
      <c r="R875" s="16" t="n">
        <v>45533</v>
      </c>
      <c r="S875" t="inlineStr">
        <is>
          <t>Eric</t>
        </is>
      </c>
      <c r="T875" t="inlineStr">
        <is>
          <t>2024-08</t>
        </is>
      </c>
    </row>
    <row r="876">
      <c r="A876" s="16" t="n">
        <v>45357</v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A</t>
        </is>
      </c>
      <c r="G876" t="inlineStr">
        <is>
          <t>Retail</t>
        </is>
      </c>
      <c r="H876" t="n">
        <v>0.15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Cust 4929</t>
        </is>
      </c>
      <c r="P876" t="n">
        <v>28.97</v>
      </c>
      <c r="Q876" s="16" t="n">
        <v>45357</v>
      </c>
      <c r="R876" s="16" t="n">
        <v>45363</v>
      </c>
      <c r="S876" t="inlineStr">
        <is>
          <t>Ryan</t>
        </is>
      </c>
      <c r="T876" t="inlineStr">
        <is>
          <t>2024-03</t>
        </is>
      </c>
    </row>
    <row r="877">
      <c r="A877" s="16" t="n">
        <v>45008</v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C</t>
        </is>
      </c>
      <c r="G877" t="inlineStr">
        <is>
          <t>Wholesale</t>
        </is>
      </c>
      <c r="H877" t="n">
        <v>0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Cust 4018</t>
        </is>
      </c>
      <c r="P877" t="n">
        <v>28.63</v>
      </c>
      <c r="Q877" s="16" t="n">
        <v>45008</v>
      </c>
      <c r="R877" s="16" t="n">
        <v>45011</v>
      </c>
      <c r="S877" t="inlineStr">
        <is>
          <t>Eric</t>
        </is>
      </c>
      <c r="T877" t="inlineStr">
        <is>
          <t>2023-03</t>
        </is>
      </c>
    </row>
    <row r="878">
      <c r="A878" s="16" t="n">
        <v>45304</v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D</t>
        </is>
      </c>
      <c r="G878" t="inlineStr">
        <is>
          <t>Wholesale</t>
        </is>
      </c>
      <c r="H878" t="n">
        <v>0.05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Cust 8069</t>
        </is>
      </c>
      <c r="P878" t="n">
        <v>27.26</v>
      </c>
      <c r="Q878" s="16" t="n">
        <v>45304</v>
      </c>
      <c r="R878" s="16" t="n">
        <v>45308</v>
      </c>
      <c r="S878" t="inlineStr">
        <is>
          <t>Cameron</t>
        </is>
      </c>
      <c r="T878" t="inlineStr">
        <is>
          <t>2024-01</t>
        </is>
      </c>
    </row>
    <row r="879">
      <c r="A879" s="16" t="n">
        <v>45125</v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C</t>
        </is>
      </c>
      <c r="G879" t="inlineStr">
        <is>
          <t>Retail</t>
        </is>
      </c>
      <c r="H879" t="n">
        <v>0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n">
        <v/>
      </c>
      <c r="M879" t="n">
        <v>0</v>
      </c>
      <c r="N879" t="inlineStr">
        <is>
          <t>REG100877</t>
        </is>
      </c>
      <c r="O879" t="inlineStr">
        <is>
          <t>Cust 6741</t>
        </is>
      </c>
      <c r="P879" t="n">
        <v>28.51</v>
      </c>
      <c r="Q879" s="16" t="n">
        <v>45125</v>
      </c>
      <c r="R879" s="16" t="n">
        <v>45131</v>
      </c>
      <c r="S879" t="inlineStr">
        <is>
          <t>Cameron</t>
        </is>
      </c>
      <c r="T879" t="inlineStr">
        <is>
          <t>2023-07</t>
        </is>
      </c>
    </row>
    <row r="880">
      <c r="A880" s="16" t="n">
        <v>45711</v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A</t>
        </is>
      </c>
      <c r="G880" t="inlineStr">
        <is>
          <t>Retail</t>
        </is>
      </c>
      <c r="H880" t="n">
        <v>0.15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Cust 8050</t>
        </is>
      </c>
      <c r="P880" t="n">
        <v>13.09</v>
      </c>
      <c r="Q880" s="16" t="n">
        <v>45711</v>
      </c>
      <c r="R880" s="16" t="n">
        <v>45720</v>
      </c>
      <c r="S880" t="inlineStr">
        <is>
          <t>Wendy</t>
        </is>
      </c>
      <c r="T880" t="inlineStr">
        <is>
          <t>2025-02</t>
        </is>
      </c>
    </row>
    <row r="881">
      <c r="A881" s="16" t="n">
        <v>44979</v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B</t>
        </is>
      </c>
      <c r="G881" t="inlineStr">
        <is>
          <t>Retail</t>
        </is>
      </c>
      <c r="H881" t="n">
        <v>0.1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Cust 2434</t>
        </is>
      </c>
      <c r="P881" t="n">
        <v>36.83</v>
      </c>
      <c r="Q881" s="16" t="n">
        <v>44979</v>
      </c>
      <c r="R881" s="16" t="n">
        <v>44987</v>
      </c>
      <c r="S881" t="inlineStr">
        <is>
          <t>Eric</t>
        </is>
      </c>
      <c r="T881" t="inlineStr">
        <is>
          <t>2023-02</t>
        </is>
      </c>
    </row>
    <row r="882">
      <c r="A882" s="16" t="n">
        <v>45583</v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0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Cust 9089</t>
        </is>
      </c>
      <c r="P882" t="n">
        <v>45.85</v>
      </c>
      <c r="Q882" s="16" t="n">
        <v>45583</v>
      </c>
      <c r="R882" s="16" t="n">
        <v>45593</v>
      </c>
      <c r="S882" t="inlineStr">
        <is>
          <t>Ryan</t>
        </is>
      </c>
      <c r="T882" t="inlineStr">
        <is>
          <t>2024-10</t>
        </is>
      </c>
    </row>
    <row r="883">
      <c r="A883" s="16" t="n">
        <v>45225</v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B</t>
        </is>
      </c>
      <c r="G883" t="inlineStr">
        <is>
          <t>Wholesale</t>
        </is>
      </c>
      <c r="H883" t="n">
        <v>0.05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n">
        <v/>
      </c>
      <c r="M883" t="n">
        <v>0</v>
      </c>
      <c r="N883" t="inlineStr">
        <is>
          <t>REG100881</t>
        </is>
      </c>
      <c r="O883" t="inlineStr">
        <is>
          <t>Cust 1091</t>
        </is>
      </c>
      <c r="P883" t="n">
        <v>5.05</v>
      </c>
      <c r="Q883" s="16" t="n">
        <v>45225</v>
      </c>
      <c r="R883" s="16" t="n">
        <v>45230</v>
      </c>
      <c r="S883" t="inlineStr">
        <is>
          <t>Wendy</t>
        </is>
      </c>
      <c r="T883" t="inlineStr">
        <is>
          <t>2023-10</t>
        </is>
      </c>
    </row>
    <row r="884">
      <c r="A884" s="16" t="n">
        <v>44936</v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B</t>
        </is>
      </c>
      <c r="G884" t="inlineStr">
        <is>
          <t>Retail</t>
        </is>
      </c>
      <c r="H884" t="n">
        <v>0.1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Cust 6138</t>
        </is>
      </c>
      <c r="P884" t="n">
        <v>12.28</v>
      </c>
      <c r="Q884" s="16" t="n">
        <v>44936</v>
      </c>
      <c r="R884" s="16" t="n">
        <v>44940</v>
      </c>
      <c r="S884" t="inlineStr">
        <is>
          <t>Cameron</t>
        </is>
      </c>
      <c r="T884" t="inlineStr">
        <is>
          <t>2023-01</t>
        </is>
      </c>
    </row>
    <row r="885">
      <c r="A885" s="16" t="n">
        <v>45370</v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D</t>
        </is>
      </c>
      <c r="G885" t="inlineStr">
        <is>
          <t>Retail</t>
        </is>
      </c>
      <c r="H885" t="n">
        <v>0.1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n">
        <v/>
      </c>
      <c r="M885" t="n">
        <v>0</v>
      </c>
      <c r="N885" t="inlineStr">
        <is>
          <t>REG100883</t>
        </is>
      </c>
      <c r="O885" t="inlineStr">
        <is>
          <t>Cust 6326</t>
        </is>
      </c>
      <c r="P885" t="n">
        <v>16.06</v>
      </c>
      <c r="Q885" s="16" t="n">
        <v>45370</v>
      </c>
      <c r="R885" s="16" t="n">
        <v>45373</v>
      </c>
      <c r="S885" t="inlineStr">
        <is>
          <t>Cameron</t>
        </is>
      </c>
      <c r="T885" t="inlineStr">
        <is>
          <t>2024-03</t>
        </is>
      </c>
    </row>
    <row r="886">
      <c r="A886" s="16" t="n">
        <v>45280</v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B</t>
        </is>
      </c>
      <c r="G886" t="inlineStr">
        <is>
          <t>Wholesale</t>
        </is>
      </c>
      <c r="H886" t="n">
        <v>0.05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Cust 1327</t>
        </is>
      </c>
      <c r="P886" t="n">
        <v>28.14</v>
      </c>
      <c r="Q886" s="16" t="n">
        <v>45280</v>
      </c>
      <c r="R886" s="16" t="n">
        <v>45286</v>
      </c>
      <c r="S886" t="inlineStr">
        <is>
          <t>Cameron</t>
        </is>
      </c>
      <c r="T886" t="inlineStr">
        <is>
          <t>2023-12</t>
        </is>
      </c>
    </row>
    <row r="887">
      <c r="A887" s="16" t="n">
        <v>45635</v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0.1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Cust 8602</t>
        </is>
      </c>
      <c r="P887" t="n">
        <v>14.85</v>
      </c>
      <c r="Q887" s="16" t="n">
        <v>45635</v>
      </c>
      <c r="R887" s="16" t="n">
        <v>45645</v>
      </c>
      <c r="S887" t="inlineStr">
        <is>
          <t>Cameron</t>
        </is>
      </c>
      <c r="T887" t="inlineStr">
        <is>
          <t>2024-12</t>
        </is>
      </c>
    </row>
    <row r="888">
      <c r="A888" s="16" t="n">
        <v>45056</v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A</t>
        </is>
      </c>
      <c r="G888" t="inlineStr">
        <is>
          <t>Wholesale</t>
        </is>
      </c>
      <c r="H888" t="n">
        <v>0.05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n">
        <v/>
      </c>
      <c r="M888" t="n">
        <v>1</v>
      </c>
      <c r="N888" t="inlineStr">
        <is>
          <t>REG100886</t>
        </is>
      </c>
      <c r="O888" t="inlineStr">
        <is>
          <t>Cust 9131</t>
        </is>
      </c>
      <c r="P888" t="n">
        <v>16.78</v>
      </c>
      <c r="Q888" s="16" t="n">
        <v>45056</v>
      </c>
      <c r="R888" s="16" t="n">
        <v>45066</v>
      </c>
      <c r="S888" t="inlineStr">
        <is>
          <t>Cameron</t>
        </is>
      </c>
      <c r="T888" t="inlineStr">
        <is>
          <t>2023-05</t>
        </is>
      </c>
    </row>
    <row r="889">
      <c r="A889" s="16" t="n">
        <v>45217</v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A</t>
        </is>
      </c>
      <c r="G889" t="inlineStr">
        <is>
          <t>Retail</t>
        </is>
      </c>
      <c r="H889" t="n">
        <v>0.1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Cust 6716</t>
        </is>
      </c>
      <c r="P889" t="n">
        <v>14.76</v>
      </c>
      <c r="Q889" s="16" t="n">
        <v>45217</v>
      </c>
      <c r="R889" s="16" t="n">
        <v>45220</v>
      </c>
      <c r="S889" t="inlineStr">
        <is>
          <t>Sophie</t>
        </is>
      </c>
      <c r="T889" t="inlineStr">
        <is>
          <t>2023-10</t>
        </is>
      </c>
    </row>
    <row r="890">
      <c r="A890" s="16" t="n">
        <v>45629</v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A</t>
        </is>
      </c>
      <c r="G890" t="inlineStr">
        <is>
          <t>Wholesale</t>
        </is>
      </c>
      <c r="H890" t="n">
        <v>0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Cust 2071</t>
        </is>
      </c>
      <c r="P890" t="n">
        <v>9.609999999999999</v>
      </c>
      <c r="Q890" s="16" t="n">
        <v>45629</v>
      </c>
      <c r="R890" s="16" t="n">
        <v>45632</v>
      </c>
      <c r="S890" t="inlineStr">
        <is>
          <t>Sophie</t>
        </is>
      </c>
      <c r="T890" t="inlineStr">
        <is>
          <t>2024-12</t>
        </is>
      </c>
    </row>
    <row r="891">
      <c r="A891" s="16" t="n">
        <v>45575</v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A</t>
        </is>
      </c>
      <c r="G891" t="inlineStr">
        <is>
          <t>Wholesale</t>
        </is>
      </c>
      <c r="H891" t="n">
        <v>0.1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n">
        <v/>
      </c>
      <c r="M891" t="n">
        <v>1</v>
      </c>
      <c r="N891" t="inlineStr">
        <is>
          <t>REG100889</t>
        </is>
      </c>
      <c r="O891" t="inlineStr">
        <is>
          <t>Cust 4472</t>
        </is>
      </c>
      <c r="P891" t="n">
        <v>26.92</v>
      </c>
      <c r="Q891" s="16" t="n">
        <v>45575</v>
      </c>
      <c r="R891" s="16" t="n">
        <v>45582</v>
      </c>
      <c r="S891" t="inlineStr">
        <is>
          <t>Sophie</t>
        </is>
      </c>
      <c r="T891" t="inlineStr">
        <is>
          <t>2024-10</t>
        </is>
      </c>
    </row>
    <row r="892">
      <c r="A892" s="16" t="n">
        <v>45446</v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D</t>
        </is>
      </c>
      <c r="G892" t="inlineStr">
        <is>
          <t>Wholesale</t>
        </is>
      </c>
      <c r="H892" t="n">
        <v>0.1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Cust 3899</t>
        </is>
      </c>
      <c r="P892" t="n">
        <v>26.35</v>
      </c>
      <c r="Q892" s="16" t="n">
        <v>45446</v>
      </c>
      <c r="R892" s="16" t="n">
        <v>45450</v>
      </c>
      <c r="S892" t="inlineStr">
        <is>
          <t>Eric</t>
        </is>
      </c>
      <c r="T892" t="inlineStr">
        <is>
          <t>2024-06</t>
        </is>
      </c>
    </row>
    <row r="893">
      <c r="A893" s="16" t="n">
        <v>45742</v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B</t>
        </is>
      </c>
      <c r="G893" t="inlineStr">
        <is>
          <t>Wholesale</t>
        </is>
      </c>
      <c r="H893" t="n">
        <v>0.05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Cust 9467</t>
        </is>
      </c>
      <c r="P893" t="n">
        <v>45.34</v>
      </c>
      <c r="Q893" s="16" t="n">
        <v>45742</v>
      </c>
      <c r="R893" s="16" t="n">
        <v>45745</v>
      </c>
      <c r="S893" t="inlineStr">
        <is>
          <t>Sophie</t>
        </is>
      </c>
      <c r="T893" t="inlineStr">
        <is>
          <t>2025-03</t>
        </is>
      </c>
    </row>
    <row r="894">
      <c r="A894" s="16" t="n">
        <v>45408</v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A</t>
        </is>
      </c>
      <c r="G894" t="inlineStr">
        <is>
          <t>Retail</t>
        </is>
      </c>
      <c r="H894" t="n">
        <v>0.1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Cust 3824</t>
        </is>
      </c>
      <c r="P894" t="n">
        <v>30.19</v>
      </c>
      <c r="Q894" s="16" t="n">
        <v>45408</v>
      </c>
      <c r="R894" s="16" t="n">
        <v>45413</v>
      </c>
      <c r="S894" t="inlineStr">
        <is>
          <t>Ryan</t>
        </is>
      </c>
      <c r="T894" t="inlineStr">
        <is>
          <t>2024-04</t>
        </is>
      </c>
    </row>
    <row r="895">
      <c r="A895" s="16" t="n">
        <v>45051</v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0.1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Cust 3511</t>
        </is>
      </c>
      <c r="P895" t="n">
        <v>9.93</v>
      </c>
      <c r="Q895" s="16" t="n">
        <v>45051</v>
      </c>
      <c r="R895" s="16" t="n">
        <v>45059</v>
      </c>
      <c r="S895" t="inlineStr">
        <is>
          <t>Wendy</t>
        </is>
      </c>
      <c r="T895" t="inlineStr">
        <is>
          <t>2023-05</t>
        </is>
      </c>
    </row>
    <row r="896">
      <c r="A896" s="16" t="n">
        <v>45192</v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D</t>
        </is>
      </c>
      <c r="G896" t="inlineStr">
        <is>
          <t>Retail</t>
        </is>
      </c>
      <c r="H896" t="n">
        <v>0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n">
        <v/>
      </c>
      <c r="M896" t="n">
        <v>0</v>
      </c>
      <c r="N896" t="inlineStr">
        <is>
          <t>REG100894</t>
        </is>
      </c>
      <c r="O896" t="inlineStr">
        <is>
          <t>Cust 3356</t>
        </is>
      </c>
      <c r="P896" t="n">
        <v>16.59</v>
      </c>
      <c r="Q896" s="16" t="n">
        <v>45192</v>
      </c>
      <c r="R896" s="16" t="n">
        <v>45198</v>
      </c>
      <c r="S896" t="inlineStr">
        <is>
          <t>Wendy</t>
        </is>
      </c>
      <c r="T896" t="inlineStr">
        <is>
          <t>2023-09</t>
        </is>
      </c>
    </row>
    <row r="897">
      <c r="A897" s="16" t="n">
        <v>45724</v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0.15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Cust 2840</t>
        </is>
      </c>
      <c r="P897" t="n">
        <v>25.11</v>
      </c>
      <c r="Q897" s="16" t="n">
        <v>45724</v>
      </c>
      <c r="R897" s="16" t="n">
        <v>45731</v>
      </c>
      <c r="S897" t="inlineStr">
        <is>
          <t>Sophie</t>
        </is>
      </c>
      <c r="T897" t="inlineStr">
        <is>
          <t>2025-03</t>
        </is>
      </c>
    </row>
    <row r="898">
      <c r="A898" s="16" t="n">
        <v>44943</v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A</t>
        </is>
      </c>
      <c r="G898" t="inlineStr">
        <is>
          <t>Wholesale</t>
        </is>
      </c>
      <c r="H898" t="n">
        <v>0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Cust 3811</t>
        </is>
      </c>
      <c r="P898" t="n">
        <v>48.93</v>
      </c>
      <c r="Q898" s="16" t="n">
        <v>44943</v>
      </c>
      <c r="R898" s="16" t="n">
        <v>44953</v>
      </c>
      <c r="S898" t="inlineStr">
        <is>
          <t>Ryan</t>
        </is>
      </c>
      <c r="T898" t="inlineStr">
        <is>
          <t>2023-01</t>
        </is>
      </c>
    </row>
    <row r="899">
      <c r="A899" s="16" t="n">
        <v>45045</v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D</t>
        </is>
      </c>
      <c r="G899" t="inlineStr">
        <is>
          <t>Retail</t>
        </is>
      </c>
      <c r="H899" t="n">
        <v>0.1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Cust 9960</t>
        </is>
      </c>
      <c r="P899" t="n">
        <v>21.03</v>
      </c>
      <c r="Q899" s="16" t="n">
        <v>45045</v>
      </c>
      <c r="R899" s="16" t="n">
        <v>45047</v>
      </c>
      <c r="S899" t="inlineStr">
        <is>
          <t>Cameron</t>
        </is>
      </c>
      <c r="T899" t="inlineStr">
        <is>
          <t>2023-04</t>
        </is>
      </c>
    </row>
    <row r="900">
      <c r="A900" s="16" t="n">
        <v>45704</v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C</t>
        </is>
      </c>
      <c r="G900" t="inlineStr">
        <is>
          <t>Retail</t>
        </is>
      </c>
      <c r="H900" t="n">
        <v>0.1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n">
        <v/>
      </c>
      <c r="M900" t="n">
        <v>0</v>
      </c>
      <c r="N900" t="inlineStr">
        <is>
          <t>REG100898</t>
        </is>
      </c>
      <c r="O900" t="inlineStr">
        <is>
          <t>Cust 5906</t>
        </is>
      </c>
      <c r="P900" t="n">
        <v>16.04</v>
      </c>
      <c r="Q900" s="16" t="n">
        <v>45704</v>
      </c>
      <c r="R900" s="16" t="n">
        <v>45710</v>
      </c>
      <c r="S900" t="inlineStr">
        <is>
          <t>Sophie</t>
        </is>
      </c>
      <c r="T900" t="inlineStr">
        <is>
          <t>2025-02</t>
        </is>
      </c>
    </row>
    <row r="901">
      <c r="A901" s="16" t="n">
        <v>45082</v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A</t>
        </is>
      </c>
      <c r="G901" t="inlineStr">
        <is>
          <t>Retail</t>
        </is>
      </c>
      <c r="H901" t="n">
        <v>0.15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n">
        <v/>
      </c>
      <c r="M901" t="n">
        <v>0</v>
      </c>
      <c r="N901" t="inlineStr">
        <is>
          <t>REG100899</t>
        </is>
      </c>
      <c r="O901" t="inlineStr">
        <is>
          <t>Cust 6579</t>
        </is>
      </c>
      <c r="P901" t="n">
        <v>24.57</v>
      </c>
      <c r="Q901" s="16" t="n">
        <v>45082</v>
      </c>
      <c r="R901" s="16" t="n">
        <v>45086</v>
      </c>
      <c r="S901" t="inlineStr">
        <is>
          <t>Eric</t>
        </is>
      </c>
      <c r="T901" t="inlineStr">
        <is>
          <t>2023-06</t>
        </is>
      </c>
    </row>
    <row r="902">
      <c r="A902" s="16" t="n">
        <v>45166</v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D</t>
        </is>
      </c>
      <c r="G902" t="inlineStr">
        <is>
          <t>Wholesale</t>
        </is>
      </c>
      <c r="H902" t="n">
        <v>0.05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Cust 1756</t>
        </is>
      </c>
      <c r="P902" t="n">
        <v>32.57</v>
      </c>
      <c r="Q902" s="16" t="n">
        <v>45166</v>
      </c>
      <c r="R902" s="16" t="n">
        <v>45175</v>
      </c>
      <c r="S902" t="inlineStr">
        <is>
          <t>Sophie</t>
        </is>
      </c>
      <c r="T902" t="inlineStr">
        <is>
          <t>2023-08</t>
        </is>
      </c>
    </row>
    <row r="903">
      <c r="A903" s="16" t="n">
        <v>45139</v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D</t>
        </is>
      </c>
      <c r="G903" t="inlineStr">
        <is>
          <t>Wholesale</t>
        </is>
      </c>
      <c r="H903" t="n">
        <v>0.05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Cust 8150</t>
        </is>
      </c>
      <c r="P903" t="n">
        <v>28.69</v>
      </c>
      <c r="Q903" s="16" t="n">
        <v>45139</v>
      </c>
      <c r="R903" s="16" t="n">
        <v>45148</v>
      </c>
      <c r="S903" t="inlineStr">
        <is>
          <t>Ryan</t>
        </is>
      </c>
      <c r="T903" t="inlineStr">
        <is>
          <t>2023-08</t>
        </is>
      </c>
    </row>
    <row r="904">
      <c r="A904" s="16" t="n">
        <v>45700</v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C</t>
        </is>
      </c>
      <c r="G904" t="inlineStr">
        <is>
          <t>Retail</t>
        </is>
      </c>
      <c r="H904" t="n">
        <v>0.15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Cust 8999</t>
        </is>
      </c>
      <c r="P904" t="n">
        <v>46.67</v>
      </c>
      <c r="Q904" s="16" t="n">
        <v>45700</v>
      </c>
      <c r="R904" s="16" t="n">
        <v>45708</v>
      </c>
      <c r="S904" t="inlineStr">
        <is>
          <t>Wendy</t>
        </is>
      </c>
      <c r="T904" t="inlineStr">
        <is>
          <t>2025-02</t>
        </is>
      </c>
    </row>
    <row r="905">
      <c r="A905" s="16" t="n">
        <v>45110</v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0.1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Cust 4277</t>
        </is>
      </c>
      <c r="P905" t="n">
        <v>47.75</v>
      </c>
      <c r="Q905" s="16" t="n">
        <v>45110</v>
      </c>
      <c r="R905" s="16" t="n">
        <v>45113</v>
      </c>
      <c r="S905" t="inlineStr">
        <is>
          <t>Cameron</t>
        </is>
      </c>
      <c r="T905" t="inlineStr">
        <is>
          <t>2023-07</t>
        </is>
      </c>
    </row>
    <row r="906">
      <c r="A906" s="16" t="n">
        <v>45786</v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B</t>
        </is>
      </c>
      <c r="G906" t="inlineStr">
        <is>
          <t>Wholesale</t>
        </is>
      </c>
      <c r="H906" t="n">
        <v>0.05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Cust 8751</t>
        </is>
      </c>
      <c r="P906" t="n">
        <v>21.21</v>
      </c>
      <c r="Q906" s="16" t="n">
        <v>45786</v>
      </c>
      <c r="R906" s="16" t="n">
        <v>45790</v>
      </c>
      <c r="S906" t="inlineStr">
        <is>
          <t>Cameron</t>
        </is>
      </c>
      <c r="T906" t="inlineStr">
        <is>
          <t>2025-05</t>
        </is>
      </c>
    </row>
    <row r="907">
      <c r="A907" s="16" t="n">
        <v>45417</v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B</t>
        </is>
      </c>
      <c r="G907" t="inlineStr">
        <is>
          <t>Retail</t>
        </is>
      </c>
      <c r="H907" t="n">
        <v>0.1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Cust 2482</t>
        </is>
      </c>
      <c r="P907" t="n">
        <v>5.58</v>
      </c>
      <c r="Q907" s="16" t="n">
        <v>45417</v>
      </c>
      <c r="R907" s="16" t="n">
        <v>45426</v>
      </c>
      <c r="S907" t="inlineStr">
        <is>
          <t>Wendy</t>
        </is>
      </c>
      <c r="T907" t="inlineStr">
        <is>
          <t>2024-05</t>
        </is>
      </c>
    </row>
    <row r="908">
      <c r="A908" s="16" t="n">
        <v>45299</v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D</t>
        </is>
      </c>
      <c r="G908" t="inlineStr">
        <is>
          <t>Retail</t>
        </is>
      </c>
      <c r="H908" t="n">
        <v>0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Cust 4078</t>
        </is>
      </c>
      <c r="P908" t="n">
        <v>31.2</v>
      </c>
      <c r="Q908" s="16" t="n">
        <v>45299</v>
      </c>
      <c r="R908" s="16" t="n">
        <v>45306</v>
      </c>
      <c r="S908" t="inlineStr">
        <is>
          <t>Sophie</t>
        </is>
      </c>
      <c r="T908" t="inlineStr">
        <is>
          <t>2024-01</t>
        </is>
      </c>
    </row>
    <row r="909">
      <c r="A909" s="16" t="n">
        <v>45670</v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Cust 9091</t>
        </is>
      </c>
      <c r="P909" t="n">
        <v>14.35</v>
      </c>
      <c r="Q909" s="16" t="n">
        <v>45670</v>
      </c>
      <c r="R909" s="16" t="n">
        <v>45674</v>
      </c>
      <c r="S909" t="inlineStr">
        <is>
          <t>Sophie</t>
        </is>
      </c>
      <c r="T909" t="inlineStr">
        <is>
          <t>2025-01</t>
        </is>
      </c>
    </row>
    <row r="910">
      <c r="A910" s="16" t="n">
        <v>45820</v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A</t>
        </is>
      </c>
      <c r="G910" t="inlineStr">
        <is>
          <t>Wholesale</t>
        </is>
      </c>
      <c r="H910" t="n">
        <v>0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Cust 8706</t>
        </is>
      </c>
      <c r="P910" t="n">
        <v>44.77</v>
      </c>
      <c r="Q910" s="16" t="n">
        <v>45820</v>
      </c>
      <c r="R910" s="16" t="n">
        <v>45826</v>
      </c>
      <c r="S910" t="inlineStr">
        <is>
          <t>Eric</t>
        </is>
      </c>
      <c r="T910" t="inlineStr">
        <is>
          <t>2025-06</t>
        </is>
      </c>
    </row>
    <row r="911">
      <c r="A911" s="16" t="n">
        <v>45750</v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0.15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n">
        <v/>
      </c>
      <c r="M911" t="n">
        <v>0</v>
      </c>
      <c r="N911" t="inlineStr">
        <is>
          <t>REG100909</t>
        </is>
      </c>
      <c r="O911" t="inlineStr">
        <is>
          <t>Cust 5042</t>
        </is>
      </c>
      <c r="P911" t="n">
        <v>30.57</v>
      </c>
      <c r="Q911" s="16" t="n">
        <v>45750</v>
      </c>
      <c r="R911" s="16" t="n">
        <v>45759</v>
      </c>
      <c r="S911" t="inlineStr">
        <is>
          <t>Ryan</t>
        </is>
      </c>
      <c r="T911" t="inlineStr">
        <is>
          <t>2025-04</t>
        </is>
      </c>
    </row>
    <row r="912">
      <c r="A912" s="16" t="n">
        <v>44952</v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0.15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Cust 3319</t>
        </is>
      </c>
      <c r="P912" t="n">
        <v>22.16</v>
      </c>
      <c r="Q912" s="16" t="n">
        <v>44952</v>
      </c>
      <c r="R912" s="16" t="n">
        <v>44956</v>
      </c>
      <c r="S912" t="inlineStr">
        <is>
          <t>Cameron</t>
        </is>
      </c>
      <c r="T912" t="inlineStr">
        <is>
          <t>2023-01</t>
        </is>
      </c>
    </row>
    <row r="913">
      <c r="A913" s="16" t="n">
        <v>44933</v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A</t>
        </is>
      </c>
      <c r="G913" t="inlineStr">
        <is>
          <t>Wholesale</t>
        </is>
      </c>
      <c r="H913" t="n">
        <v>0.1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Cust 4139</t>
        </is>
      </c>
      <c r="P913" t="n">
        <v>25.55</v>
      </c>
      <c r="Q913" s="16" t="n">
        <v>44933</v>
      </c>
      <c r="R913" s="16" t="n">
        <v>44937</v>
      </c>
      <c r="S913" t="inlineStr">
        <is>
          <t>Cameron</t>
        </is>
      </c>
      <c r="T913" t="inlineStr">
        <is>
          <t>2023-01</t>
        </is>
      </c>
    </row>
    <row r="914">
      <c r="A914" s="16" t="n">
        <v>45672</v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0.1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n">
        <v/>
      </c>
      <c r="M914" t="n">
        <v>0</v>
      </c>
      <c r="N914" t="inlineStr">
        <is>
          <t>REG100912</t>
        </is>
      </c>
      <c r="O914" t="inlineStr">
        <is>
          <t>Cust 6993</t>
        </is>
      </c>
      <c r="P914" t="n">
        <v>15.13</v>
      </c>
      <c r="Q914" s="16" t="n">
        <v>45672</v>
      </c>
      <c r="R914" s="16" t="n">
        <v>45680</v>
      </c>
      <c r="S914" t="inlineStr">
        <is>
          <t>Ryan</t>
        </is>
      </c>
      <c r="T914" t="inlineStr">
        <is>
          <t>2025-01</t>
        </is>
      </c>
    </row>
    <row r="915">
      <c r="A915" s="16" t="n">
        <v>45626</v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B</t>
        </is>
      </c>
      <c r="G915" t="inlineStr">
        <is>
          <t>Wholesale</t>
        </is>
      </c>
      <c r="H915" t="n">
        <v>0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Cust 8397</t>
        </is>
      </c>
      <c r="P915" t="n">
        <v>34.6</v>
      </c>
      <c r="Q915" s="16" t="n">
        <v>45626</v>
      </c>
      <c r="R915" s="16" t="n">
        <v>45631</v>
      </c>
      <c r="S915" t="inlineStr">
        <is>
          <t>Eric</t>
        </is>
      </c>
      <c r="T915" t="inlineStr">
        <is>
          <t>2024-11</t>
        </is>
      </c>
    </row>
    <row r="916">
      <c r="A916" s="16" t="n">
        <v>45348</v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B</t>
        </is>
      </c>
      <c r="G916" t="inlineStr">
        <is>
          <t>Retail</t>
        </is>
      </c>
      <c r="H916" t="n">
        <v>0.15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Cust 3082</t>
        </is>
      </c>
      <c r="P916" t="n">
        <v>42.18</v>
      </c>
      <c r="Q916" s="16" t="n">
        <v>45348</v>
      </c>
      <c r="R916" s="16" t="n">
        <v>45358</v>
      </c>
      <c r="S916" t="inlineStr">
        <is>
          <t>Eric</t>
        </is>
      </c>
      <c r="T916" t="inlineStr">
        <is>
          <t>2024-02</t>
        </is>
      </c>
    </row>
    <row r="917">
      <c r="A917" s="16" t="n">
        <v>45819</v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0.05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Cust 1156</t>
        </is>
      </c>
      <c r="P917" t="n">
        <v>16.4</v>
      </c>
      <c r="Q917" s="16" t="n">
        <v>45819</v>
      </c>
      <c r="R917" s="16" t="n">
        <v>45823</v>
      </c>
      <c r="S917" t="inlineStr">
        <is>
          <t>Ryan</t>
        </is>
      </c>
      <c r="T917" t="inlineStr">
        <is>
          <t>2025-06</t>
        </is>
      </c>
    </row>
    <row r="918">
      <c r="A918" s="16" t="n">
        <v>45259</v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B</t>
        </is>
      </c>
      <c r="G918" t="inlineStr">
        <is>
          <t>Retail</t>
        </is>
      </c>
      <c r="H918" t="n">
        <v>0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n">
        <v/>
      </c>
      <c r="M918" t="n">
        <v>0</v>
      </c>
      <c r="N918" t="inlineStr">
        <is>
          <t>REG100916</t>
        </is>
      </c>
      <c r="O918" t="inlineStr">
        <is>
          <t>Cust 4720</t>
        </is>
      </c>
      <c r="P918" t="n">
        <v>12.05</v>
      </c>
      <c r="Q918" s="16" t="n">
        <v>45259</v>
      </c>
      <c r="R918" s="16" t="n">
        <v>45264</v>
      </c>
      <c r="S918" t="inlineStr">
        <is>
          <t>Cameron</t>
        </is>
      </c>
      <c r="T918" t="inlineStr">
        <is>
          <t>2023-11</t>
        </is>
      </c>
    </row>
    <row r="919">
      <c r="A919" s="16" t="n">
        <v>45470</v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B</t>
        </is>
      </c>
      <c r="G919" t="inlineStr">
        <is>
          <t>Retail</t>
        </is>
      </c>
      <c r="H919" t="n">
        <v>0.05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Cust 7034</t>
        </is>
      </c>
      <c r="P919" t="n">
        <v>39.16</v>
      </c>
      <c r="Q919" s="16" t="n">
        <v>45470</v>
      </c>
      <c r="R919" s="16" t="n">
        <v>45478</v>
      </c>
      <c r="S919" t="inlineStr">
        <is>
          <t>Sophie</t>
        </is>
      </c>
      <c r="T919" t="inlineStr">
        <is>
          <t>2024-06</t>
        </is>
      </c>
    </row>
    <row r="920">
      <c r="A920" s="16" t="n">
        <v>45432</v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A</t>
        </is>
      </c>
      <c r="G920" t="inlineStr">
        <is>
          <t>Wholesale</t>
        </is>
      </c>
      <c r="H920" t="n">
        <v>0.05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Cust 7218</t>
        </is>
      </c>
      <c r="P920" t="n">
        <v>48.73</v>
      </c>
      <c r="Q920" s="16" t="n">
        <v>45432</v>
      </c>
      <c r="R920" s="16" t="n">
        <v>45439</v>
      </c>
      <c r="S920" t="inlineStr">
        <is>
          <t>Sophie</t>
        </is>
      </c>
      <c r="T920" t="inlineStr">
        <is>
          <t>2024-05</t>
        </is>
      </c>
    </row>
    <row r="921">
      <c r="A921" s="16" t="n">
        <v>45094</v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0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Cust 2651</t>
        </is>
      </c>
      <c r="P921" t="n">
        <v>8.109999999999999</v>
      </c>
      <c r="Q921" s="16" t="n">
        <v>45094</v>
      </c>
      <c r="R921" s="16" t="n">
        <v>45099</v>
      </c>
      <c r="S921" t="inlineStr">
        <is>
          <t>Wendy</t>
        </is>
      </c>
      <c r="T921" t="inlineStr">
        <is>
          <t>2023-06</t>
        </is>
      </c>
    </row>
    <row r="922">
      <c r="A922" s="16" t="n">
        <v>45602</v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D</t>
        </is>
      </c>
      <c r="G922" t="inlineStr">
        <is>
          <t>Retail</t>
        </is>
      </c>
      <c r="H922" t="n">
        <v>0.1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Cust 1252</t>
        </is>
      </c>
      <c r="P922" t="n">
        <v>48.27</v>
      </c>
      <c r="Q922" s="16" t="n">
        <v>45602</v>
      </c>
      <c r="R922" s="16" t="n">
        <v>45609</v>
      </c>
      <c r="S922" t="inlineStr">
        <is>
          <t>Eric</t>
        </is>
      </c>
      <c r="T922" t="inlineStr">
        <is>
          <t>2024-11</t>
        </is>
      </c>
    </row>
    <row r="923">
      <c r="A923" s="16" t="n">
        <v>45700</v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0.15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Cust 6679</t>
        </is>
      </c>
      <c r="P923" t="n">
        <v>12.22</v>
      </c>
      <c r="Q923" s="16" t="n">
        <v>45700</v>
      </c>
      <c r="R923" s="16" t="n">
        <v>45708</v>
      </c>
      <c r="S923" t="inlineStr">
        <is>
          <t>Ryan</t>
        </is>
      </c>
      <c r="T923" t="inlineStr">
        <is>
          <t>2025-02</t>
        </is>
      </c>
    </row>
    <row r="924">
      <c r="A924" s="16" t="n">
        <v>45756</v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0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Cust 1656</t>
        </is>
      </c>
      <c r="P924" t="n">
        <v>30.86</v>
      </c>
      <c r="Q924" s="16" t="n">
        <v>45756</v>
      </c>
      <c r="R924" s="16" t="n">
        <v>45761</v>
      </c>
      <c r="S924" t="inlineStr">
        <is>
          <t>Ryan</t>
        </is>
      </c>
      <c r="T924" t="inlineStr">
        <is>
          <t>2025-04</t>
        </is>
      </c>
    </row>
    <row r="925">
      <c r="A925" s="16" t="n">
        <v>45522</v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A</t>
        </is>
      </c>
      <c r="G925" t="inlineStr">
        <is>
          <t>Wholesale</t>
        </is>
      </c>
      <c r="H925" t="n">
        <v>0.05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Cust 9361</t>
        </is>
      </c>
      <c r="P925" t="n">
        <v>12.04</v>
      </c>
      <c r="Q925" s="16" t="n">
        <v>45522</v>
      </c>
      <c r="R925" s="16" t="n">
        <v>45530</v>
      </c>
      <c r="S925" t="inlineStr">
        <is>
          <t>Ryan</t>
        </is>
      </c>
      <c r="T925" t="inlineStr">
        <is>
          <t>2024-08</t>
        </is>
      </c>
    </row>
    <row r="926">
      <c r="A926" s="16" t="n">
        <v>44977</v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0.05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Cust 4270</t>
        </is>
      </c>
      <c r="P926" t="n">
        <v>30.29</v>
      </c>
      <c r="Q926" s="16" t="n">
        <v>44977</v>
      </c>
      <c r="R926" s="16" t="n">
        <v>44980</v>
      </c>
      <c r="S926" t="inlineStr">
        <is>
          <t>Cameron</t>
        </is>
      </c>
      <c r="T926" t="inlineStr">
        <is>
          <t>2023-02</t>
        </is>
      </c>
    </row>
    <row r="927">
      <c r="A927" s="16" t="n">
        <v>45775</v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0.05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Cust 3049</t>
        </is>
      </c>
      <c r="P927" t="n">
        <v>26.43</v>
      </c>
      <c r="Q927" s="16" t="n">
        <v>45775</v>
      </c>
      <c r="R927" s="16" t="n">
        <v>45785</v>
      </c>
      <c r="S927" t="inlineStr">
        <is>
          <t>Ryan</t>
        </is>
      </c>
      <c r="T927" t="inlineStr">
        <is>
          <t>2025-04</t>
        </is>
      </c>
    </row>
    <row r="928">
      <c r="A928" s="16" t="n">
        <v>45148</v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0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Cust 6415</t>
        </is>
      </c>
      <c r="P928" t="n">
        <v>46.98</v>
      </c>
      <c r="Q928" s="16" t="n">
        <v>45148</v>
      </c>
      <c r="R928" s="16" t="n">
        <v>45151</v>
      </c>
      <c r="S928" t="inlineStr">
        <is>
          <t>Cameron</t>
        </is>
      </c>
      <c r="T928" t="inlineStr">
        <is>
          <t>2023-08</t>
        </is>
      </c>
    </row>
    <row r="929">
      <c r="A929" s="16" t="n">
        <v>45467</v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A</t>
        </is>
      </c>
      <c r="G929" t="inlineStr">
        <is>
          <t>Wholesale</t>
        </is>
      </c>
      <c r="H929" t="n">
        <v>0.1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Cust 9856</t>
        </is>
      </c>
      <c r="P929" t="n">
        <v>10.36</v>
      </c>
      <c r="Q929" s="16" t="n">
        <v>45467</v>
      </c>
      <c r="R929" s="16" t="n">
        <v>45472</v>
      </c>
      <c r="S929" t="inlineStr">
        <is>
          <t>Ryan</t>
        </is>
      </c>
      <c r="T929" t="inlineStr">
        <is>
          <t>2024-06</t>
        </is>
      </c>
    </row>
    <row r="930">
      <c r="A930" s="16" t="n">
        <v>45144</v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0.05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n">
        <v/>
      </c>
      <c r="M930" t="n">
        <v>0</v>
      </c>
      <c r="N930" t="inlineStr">
        <is>
          <t>REG100928</t>
        </is>
      </c>
      <c r="O930" t="inlineStr">
        <is>
          <t>Cust 3106</t>
        </is>
      </c>
      <c r="P930" t="n">
        <v>27.66</v>
      </c>
      <c r="Q930" s="16" t="n">
        <v>45144</v>
      </c>
      <c r="R930" s="16" t="n">
        <v>45150</v>
      </c>
      <c r="S930" t="inlineStr">
        <is>
          <t>Cameron</t>
        </is>
      </c>
      <c r="T930" t="inlineStr">
        <is>
          <t>2023-08</t>
        </is>
      </c>
    </row>
    <row r="931">
      <c r="A931" s="16" t="n">
        <v>45622</v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C</t>
        </is>
      </c>
      <c r="G931" t="inlineStr">
        <is>
          <t>Retail</t>
        </is>
      </c>
      <c r="H931" t="n">
        <v>0.1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n">
        <v/>
      </c>
      <c r="M931" t="n">
        <v>1</v>
      </c>
      <c r="N931" t="inlineStr">
        <is>
          <t>REG100929</t>
        </is>
      </c>
      <c r="O931" t="inlineStr">
        <is>
          <t>Cust 3259</t>
        </is>
      </c>
      <c r="P931" t="n">
        <v>11.57</v>
      </c>
      <c r="Q931" s="16" t="n">
        <v>45622</v>
      </c>
      <c r="R931" s="16" t="n">
        <v>45626</v>
      </c>
      <c r="S931" t="inlineStr">
        <is>
          <t>Eric</t>
        </is>
      </c>
      <c r="T931" t="inlineStr">
        <is>
          <t>2024-11</t>
        </is>
      </c>
    </row>
    <row r="932">
      <c r="A932" s="16" t="n">
        <v>45694</v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C</t>
        </is>
      </c>
      <c r="G932" t="inlineStr">
        <is>
          <t>Wholesale</t>
        </is>
      </c>
      <c r="H932" t="n">
        <v>0.1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Cust 7107</t>
        </is>
      </c>
      <c r="P932" t="n">
        <v>32.94</v>
      </c>
      <c r="Q932" s="16" t="n">
        <v>45694</v>
      </c>
      <c r="R932" s="16" t="n">
        <v>45698</v>
      </c>
      <c r="S932" t="inlineStr">
        <is>
          <t>Eric</t>
        </is>
      </c>
      <c r="T932" t="inlineStr">
        <is>
          <t>2025-02</t>
        </is>
      </c>
    </row>
    <row r="933">
      <c r="A933" s="16" t="n">
        <v>45736</v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A</t>
        </is>
      </c>
      <c r="G933" t="inlineStr">
        <is>
          <t>Retail</t>
        </is>
      </c>
      <c r="H933" t="n">
        <v>0.15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Cust 7542</t>
        </is>
      </c>
      <c r="P933" t="n">
        <v>30.33</v>
      </c>
      <c r="Q933" s="16" t="n">
        <v>45736</v>
      </c>
      <c r="R933" s="16" t="n">
        <v>45742</v>
      </c>
      <c r="S933" t="inlineStr">
        <is>
          <t>Eric</t>
        </is>
      </c>
      <c r="T933" t="inlineStr">
        <is>
          <t>2025-03</t>
        </is>
      </c>
    </row>
    <row r="934">
      <c r="A934" s="16" t="n">
        <v>45545</v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D</t>
        </is>
      </c>
      <c r="G934" t="inlineStr">
        <is>
          <t>Retail</t>
        </is>
      </c>
      <c r="H934" t="n">
        <v>0.05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Cust 6330</t>
        </is>
      </c>
      <c r="P934" t="n">
        <v>48.13</v>
      </c>
      <c r="Q934" s="16" t="n">
        <v>45545</v>
      </c>
      <c r="R934" s="16" t="n">
        <v>45547</v>
      </c>
      <c r="S934" t="inlineStr">
        <is>
          <t>Sophie</t>
        </is>
      </c>
      <c r="T934" t="inlineStr">
        <is>
          <t>2024-09</t>
        </is>
      </c>
    </row>
    <row r="935">
      <c r="A935" s="16" t="n">
        <v>45708</v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A</t>
        </is>
      </c>
      <c r="G935" t="inlineStr">
        <is>
          <t>Wholesale</t>
        </is>
      </c>
      <c r="H935" t="n">
        <v>0.1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Cust 1469</t>
        </is>
      </c>
      <c r="P935" t="n">
        <v>19.85</v>
      </c>
      <c r="Q935" s="16" t="n">
        <v>45708</v>
      </c>
      <c r="R935" s="16" t="n">
        <v>45718</v>
      </c>
      <c r="S935" t="inlineStr">
        <is>
          <t>Sophie</t>
        </is>
      </c>
      <c r="T935" t="inlineStr">
        <is>
          <t>2025-02</t>
        </is>
      </c>
    </row>
    <row r="936">
      <c r="A936" s="16" t="n">
        <v>44946</v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A</t>
        </is>
      </c>
      <c r="G936" t="inlineStr">
        <is>
          <t>Retail</t>
        </is>
      </c>
      <c r="H936" t="n">
        <v>0.15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n">
        <v/>
      </c>
      <c r="M936" t="n">
        <v>0</v>
      </c>
      <c r="N936" t="inlineStr">
        <is>
          <t>REG100934</t>
        </is>
      </c>
      <c r="O936" t="inlineStr">
        <is>
          <t>Cust 3698</t>
        </is>
      </c>
      <c r="P936" t="n">
        <v>46.12</v>
      </c>
      <c r="Q936" s="16" t="n">
        <v>44946</v>
      </c>
      <c r="R936" s="16" t="n">
        <v>44952</v>
      </c>
      <c r="S936" t="inlineStr">
        <is>
          <t>Eric</t>
        </is>
      </c>
      <c r="T936" t="inlineStr">
        <is>
          <t>2023-01</t>
        </is>
      </c>
    </row>
    <row r="937">
      <c r="A937" s="16" t="n">
        <v>45354</v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C</t>
        </is>
      </c>
      <c r="G937" t="inlineStr">
        <is>
          <t>Retail</t>
        </is>
      </c>
      <c r="H937" t="n">
        <v>0.05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n">
        <v/>
      </c>
      <c r="M937" t="n">
        <v>1</v>
      </c>
      <c r="N937" t="inlineStr">
        <is>
          <t>REG100935</t>
        </is>
      </c>
      <c r="O937" t="inlineStr">
        <is>
          <t>Cust 9833</t>
        </is>
      </c>
      <c r="P937" t="n">
        <v>35.77</v>
      </c>
      <c r="Q937" s="16" t="n">
        <v>45354</v>
      </c>
      <c r="R937" s="16" t="n">
        <v>45357</v>
      </c>
      <c r="S937" t="inlineStr">
        <is>
          <t>Eric</t>
        </is>
      </c>
      <c r="T937" t="inlineStr">
        <is>
          <t>2024-03</t>
        </is>
      </c>
    </row>
    <row r="938">
      <c r="A938" s="16" t="n">
        <v>45257</v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A</t>
        </is>
      </c>
      <c r="G938" t="inlineStr">
        <is>
          <t>Retail</t>
        </is>
      </c>
      <c r="H938" t="n">
        <v>0.1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n">
        <v/>
      </c>
      <c r="M938" t="n">
        <v>1</v>
      </c>
      <c r="N938" t="inlineStr">
        <is>
          <t>REG100936</t>
        </is>
      </c>
      <c r="O938" t="inlineStr">
        <is>
          <t>Cust 1074</t>
        </is>
      </c>
      <c r="P938" t="n">
        <v>43.69</v>
      </c>
      <c r="Q938" s="16" t="n">
        <v>45257</v>
      </c>
      <c r="R938" s="16" t="n">
        <v>45263</v>
      </c>
      <c r="S938" t="inlineStr">
        <is>
          <t>Wendy</t>
        </is>
      </c>
      <c r="T938" t="inlineStr">
        <is>
          <t>2023-11</t>
        </is>
      </c>
    </row>
    <row r="939">
      <c r="A939" s="16" t="n">
        <v>45606</v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A</t>
        </is>
      </c>
      <c r="G939" t="inlineStr">
        <is>
          <t>Wholesale</t>
        </is>
      </c>
      <c r="H939" t="n">
        <v>0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Cust 7891</t>
        </is>
      </c>
      <c r="P939" t="n">
        <v>17.85</v>
      </c>
      <c r="Q939" s="16" t="n">
        <v>45606</v>
      </c>
      <c r="R939" s="16" t="n">
        <v>45614</v>
      </c>
      <c r="S939" t="inlineStr">
        <is>
          <t>Eric</t>
        </is>
      </c>
      <c r="T939" t="inlineStr">
        <is>
          <t>2024-11</t>
        </is>
      </c>
    </row>
    <row r="940">
      <c r="A940" s="16" t="n">
        <v>45692</v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D</t>
        </is>
      </c>
      <c r="G940" t="inlineStr">
        <is>
          <t>Wholesale</t>
        </is>
      </c>
      <c r="H940" t="n">
        <v>0.1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Cust 3373</t>
        </is>
      </c>
      <c r="P940" t="n">
        <v>26.81</v>
      </c>
      <c r="Q940" s="16" t="n">
        <v>45692</v>
      </c>
      <c r="R940" s="16" t="n">
        <v>45696</v>
      </c>
      <c r="S940" t="inlineStr">
        <is>
          <t>Cameron</t>
        </is>
      </c>
      <c r="T940" t="inlineStr">
        <is>
          <t>2025-02</t>
        </is>
      </c>
    </row>
    <row r="941">
      <c r="A941" s="16" t="n">
        <v>45343</v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0.05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n">
        <v/>
      </c>
      <c r="M941" t="n">
        <v>0</v>
      </c>
      <c r="N941" t="inlineStr">
        <is>
          <t>REG100939</t>
        </is>
      </c>
      <c r="O941" t="inlineStr">
        <is>
          <t>Cust 9045</t>
        </is>
      </c>
      <c r="P941" t="n">
        <v>19.72</v>
      </c>
      <c r="Q941" s="16" t="n">
        <v>45343</v>
      </c>
      <c r="R941" s="16" t="n">
        <v>45353</v>
      </c>
      <c r="S941" t="inlineStr">
        <is>
          <t>Eric</t>
        </is>
      </c>
      <c r="T941" t="inlineStr">
        <is>
          <t>2024-02</t>
        </is>
      </c>
    </row>
    <row r="942">
      <c r="A942" s="16" t="n">
        <v>45009</v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0.1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n">
        <v/>
      </c>
      <c r="M942" t="n">
        <v>0</v>
      </c>
      <c r="N942" t="inlineStr">
        <is>
          <t>REG100940</t>
        </is>
      </c>
      <c r="O942" t="inlineStr">
        <is>
          <t>Cust 9197</t>
        </is>
      </c>
      <c r="P942" t="n">
        <v>15.38</v>
      </c>
      <c r="Q942" s="16" t="n">
        <v>45009</v>
      </c>
      <c r="R942" s="16" t="n">
        <v>45014</v>
      </c>
      <c r="S942" t="inlineStr">
        <is>
          <t>Eric</t>
        </is>
      </c>
      <c r="T942" t="inlineStr">
        <is>
          <t>2023-03</t>
        </is>
      </c>
    </row>
    <row r="943">
      <c r="A943" s="16" t="n">
        <v>45417</v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D</t>
        </is>
      </c>
      <c r="G943" t="inlineStr">
        <is>
          <t>Wholesale</t>
        </is>
      </c>
      <c r="H943" t="n">
        <v>0.1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Cust 6920</t>
        </is>
      </c>
      <c r="P943" t="n">
        <v>32.67</v>
      </c>
      <c r="Q943" s="16" t="n">
        <v>45417</v>
      </c>
      <c r="R943" s="16" t="n">
        <v>45425</v>
      </c>
      <c r="S943" t="inlineStr">
        <is>
          <t>Sophie</t>
        </is>
      </c>
      <c r="T943" t="inlineStr">
        <is>
          <t>2024-05</t>
        </is>
      </c>
    </row>
    <row r="944">
      <c r="A944" s="16" t="n">
        <v>45569</v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D</t>
        </is>
      </c>
      <c r="G944" t="inlineStr">
        <is>
          <t>Wholesale</t>
        </is>
      </c>
      <c r="H944" t="n">
        <v>0.1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n">
        <v/>
      </c>
      <c r="M944" t="n">
        <v>0</v>
      </c>
      <c r="N944" t="inlineStr">
        <is>
          <t>REG100942</t>
        </is>
      </c>
      <c r="O944" t="inlineStr">
        <is>
          <t>Cust 9652</t>
        </is>
      </c>
      <c r="P944" t="n">
        <v>35.73</v>
      </c>
      <c r="Q944" s="16" t="n">
        <v>45569</v>
      </c>
      <c r="R944" s="16" t="n">
        <v>45572</v>
      </c>
      <c r="S944" t="inlineStr">
        <is>
          <t>Sophie</t>
        </is>
      </c>
      <c r="T944" t="inlineStr">
        <is>
          <t>2024-10</t>
        </is>
      </c>
    </row>
    <row r="945">
      <c r="A945" s="16" t="n">
        <v>45661</v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A</t>
        </is>
      </c>
      <c r="G945" t="inlineStr">
        <is>
          <t>Retail</t>
        </is>
      </c>
      <c r="H945" t="n">
        <v>0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Cust 4189</t>
        </is>
      </c>
      <c r="P945" t="n">
        <v>9.890000000000001</v>
      </c>
      <c r="Q945" s="16" t="n">
        <v>45661</v>
      </c>
      <c r="R945" s="16" t="n">
        <v>45671</v>
      </c>
      <c r="S945" t="inlineStr">
        <is>
          <t>Sophie</t>
        </is>
      </c>
      <c r="T945" t="inlineStr">
        <is>
          <t>2025-01</t>
        </is>
      </c>
    </row>
    <row r="946">
      <c r="A946" s="16" t="n">
        <v>45649</v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B</t>
        </is>
      </c>
      <c r="G946" t="inlineStr">
        <is>
          <t>Retail</t>
        </is>
      </c>
      <c r="H946" t="n">
        <v>0.05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Cust 6267</t>
        </is>
      </c>
      <c r="P946" t="n">
        <v>34.36</v>
      </c>
      <c r="Q946" s="16" t="n">
        <v>45649</v>
      </c>
      <c r="R946" s="16" t="n">
        <v>45659</v>
      </c>
      <c r="S946" t="inlineStr">
        <is>
          <t>Cameron</t>
        </is>
      </c>
      <c r="T946" t="inlineStr">
        <is>
          <t>2024-12</t>
        </is>
      </c>
    </row>
    <row r="947">
      <c r="A947" s="16" t="n">
        <v>44955</v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A</t>
        </is>
      </c>
      <c r="G947" t="inlineStr">
        <is>
          <t>Wholesale</t>
        </is>
      </c>
      <c r="H947" t="n">
        <v>0.05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n">
        <v/>
      </c>
      <c r="M947" t="n">
        <v>0</v>
      </c>
      <c r="N947" t="inlineStr">
        <is>
          <t>REG100945</t>
        </is>
      </c>
      <c r="O947" t="inlineStr">
        <is>
          <t>Cust 7753</t>
        </is>
      </c>
      <c r="P947" t="n">
        <v>26.12</v>
      </c>
      <c r="Q947" s="16" t="n">
        <v>44955</v>
      </c>
      <c r="R947" s="16" t="n">
        <v>44965</v>
      </c>
      <c r="S947" t="inlineStr">
        <is>
          <t>Cameron</t>
        </is>
      </c>
      <c r="T947" t="inlineStr">
        <is>
          <t>2023-01</t>
        </is>
      </c>
    </row>
    <row r="948">
      <c r="A948" s="16" t="n">
        <v>45515</v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0.05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Cust 2789</t>
        </is>
      </c>
      <c r="P948" t="n">
        <v>26.03</v>
      </c>
      <c r="Q948" s="16" t="n">
        <v>45515</v>
      </c>
      <c r="R948" s="16" t="n">
        <v>45521</v>
      </c>
      <c r="S948" t="inlineStr">
        <is>
          <t>Wendy</t>
        </is>
      </c>
      <c r="T948" t="inlineStr">
        <is>
          <t>2024-08</t>
        </is>
      </c>
    </row>
    <row r="949">
      <c r="A949" s="16" t="n">
        <v>45255</v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0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Cust 3527</t>
        </is>
      </c>
      <c r="P949" t="n">
        <v>45.35</v>
      </c>
      <c r="Q949" s="16" t="n">
        <v>45255</v>
      </c>
      <c r="R949" s="16" t="n">
        <v>45260</v>
      </c>
      <c r="S949" t="inlineStr">
        <is>
          <t>Ryan</t>
        </is>
      </c>
      <c r="T949" t="inlineStr">
        <is>
          <t>2023-11</t>
        </is>
      </c>
    </row>
    <row r="950">
      <c r="A950" s="16" t="n">
        <v>45720</v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D</t>
        </is>
      </c>
      <c r="G950" t="inlineStr">
        <is>
          <t>Wholesale</t>
        </is>
      </c>
      <c r="H950" t="n">
        <v>0.1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Cust 9538</t>
        </is>
      </c>
      <c r="P950" t="n">
        <v>36.55</v>
      </c>
      <c r="Q950" s="16" t="n">
        <v>45720</v>
      </c>
      <c r="R950" s="16" t="n">
        <v>45724</v>
      </c>
      <c r="S950" t="inlineStr">
        <is>
          <t>Ryan</t>
        </is>
      </c>
      <c r="T950" t="inlineStr">
        <is>
          <t>2025-03</t>
        </is>
      </c>
    </row>
    <row r="951">
      <c r="A951" s="16" t="n">
        <v>45709</v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C</t>
        </is>
      </c>
      <c r="G951" t="inlineStr">
        <is>
          <t>Wholesale</t>
        </is>
      </c>
      <c r="H951" t="n">
        <v>0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Cust 7195</t>
        </is>
      </c>
      <c r="P951" t="n">
        <v>28.35</v>
      </c>
      <c r="Q951" s="16" t="n">
        <v>45709</v>
      </c>
      <c r="R951" s="16" t="n">
        <v>45717</v>
      </c>
      <c r="S951" t="inlineStr">
        <is>
          <t>Ryan</t>
        </is>
      </c>
      <c r="T951" t="inlineStr">
        <is>
          <t>2025-02</t>
        </is>
      </c>
    </row>
    <row r="952">
      <c r="A952" s="16" t="n">
        <v>45714</v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0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Cust 8929</t>
        </is>
      </c>
      <c r="P952" t="n">
        <v>30.27</v>
      </c>
      <c r="Q952" s="16" t="n">
        <v>45714</v>
      </c>
      <c r="R952" s="16" t="n">
        <v>45716</v>
      </c>
      <c r="S952" t="inlineStr">
        <is>
          <t>Eric</t>
        </is>
      </c>
      <c r="T952" t="inlineStr">
        <is>
          <t>2025-02</t>
        </is>
      </c>
    </row>
    <row r="953">
      <c r="A953" s="16" t="n">
        <v>45380</v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B</t>
        </is>
      </c>
      <c r="G953" t="inlineStr">
        <is>
          <t>Wholesale</t>
        </is>
      </c>
      <c r="H953" t="n">
        <v>0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Cust 8931</t>
        </is>
      </c>
      <c r="P953" t="n">
        <v>35.92</v>
      </c>
      <c r="Q953" s="16" t="n">
        <v>45380</v>
      </c>
      <c r="R953" s="16" t="n">
        <v>45388</v>
      </c>
      <c r="S953" t="inlineStr">
        <is>
          <t>Eric</t>
        </is>
      </c>
      <c r="T953" t="inlineStr">
        <is>
          <t>2024-03</t>
        </is>
      </c>
    </row>
    <row r="954">
      <c r="A954" s="16" t="n">
        <v>45805</v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B</t>
        </is>
      </c>
      <c r="G954" t="inlineStr">
        <is>
          <t>Wholesale</t>
        </is>
      </c>
      <c r="H954" t="n">
        <v>0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n">
        <v/>
      </c>
      <c r="M954" t="n">
        <v>0</v>
      </c>
      <c r="N954" t="inlineStr">
        <is>
          <t>REG100952</t>
        </is>
      </c>
      <c r="O954" t="inlineStr">
        <is>
          <t>Cust 1424</t>
        </is>
      </c>
      <c r="P954" t="n">
        <v>38.29</v>
      </c>
      <c r="Q954" s="16" t="n">
        <v>45805</v>
      </c>
      <c r="R954" s="16" t="n">
        <v>45809</v>
      </c>
      <c r="S954" t="inlineStr">
        <is>
          <t>Wendy</t>
        </is>
      </c>
      <c r="T954" t="inlineStr">
        <is>
          <t>2025-05</t>
        </is>
      </c>
    </row>
    <row r="955">
      <c r="A955" s="16" t="n">
        <v>45436</v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C</t>
        </is>
      </c>
      <c r="G955" t="inlineStr">
        <is>
          <t>Retail</t>
        </is>
      </c>
      <c r="H955" t="n">
        <v>0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Cust 6723</t>
        </is>
      </c>
      <c r="P955" t="n">
        <v>49.98</v>
      </c>
      <c r="Q955" s="16" t="n">
        <v>45436</v>
      </c>
      <c r="R955" s="16" t="n">
        <v>45442</v>
      </c>
      <c r="S955" t="inlineStr">
        <is>
          <t>Wendy</t>
        </is>
      </c>
      <c r="T955" t="inlineStr">
        <is>
          <t>2024-05</t>
        </is>
      </c>
    </row>
    <row r="956">
      <c r="A956" s="16" t="n">
        <v>45058</v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C</t>
        </is>
      </c>
      <c r="G956" t="inlineStr">
        <is>
          <t>Retail</t>
        </is>
      </c>
      <c r="H956" t="n">
        <v>0.1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n">
        <v/>
      </c>
      <c r="M956" t="n">
        <v>0</v>
      </c>
      <c r="N956" t="inlineStr">
        <is>
          <t>REG100954</t>
        </is>
      </c>
      <c r="O956" t="inlineStr">
        <is>
          <t>Cust 8850</t>
        </is>
      </c>
      <c r="P956" t="n">
        <v>22.57</v>
      </c>
      <c r="Q956" s="16" t="n">
        <v>45058</v>
      </c>
      <c r="R956" s="16" t="n">
        <v>45063</v>
      </c>
      <c r="S956" t="inlineStr">
        <is>
          <t>Sophie</t>
        </is>
      </c>
      <c r="T956" t="inlineStr">
        <is>
          <t>2023-05</t>
        </is>
      </c>
    </row>
    <row r="957">
      <c r="A957" s="16" t="n">
        <v>45210</v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0.15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Cust 1722</t>
        </is>
      </c>
      <c r="P957" t="n">
        <v>5.38</v>
      </c>
      <c r="Q957" s="16" t="n">
        <v>45210</v>
      </c>
      <c r="R957" s="16" t="n">
        <v>45214</v>
      </c>
      <c r="S957" t="inlineStr">
        <is>
          <t>Sophie</t>
        </is>
      </c>
      <c r="T957" t="inlineStr">
        <is>
          <t>2023-10</t>
        </is>
      </c>
    </row>
    <row r="958">
      <c r="A958" s="16" t="n">
        <v>45316</v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B</t>
        </is>
      </c>
      <c r="G958" t="inlineStr">
        <is>
          <t>Retail</t>
        </is>
      </c>
      <c r="H958" t="n">
        <v>0.15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Cust 1211</t>
        </is>
      </c>
      <c r="P958" t="n">
        <v>6.15</v>
      </c>
      <c r="Q958" s="16" t="n">
        <v>45316</v>
      </c>
      <c r="R958" s="16" t="n">
        <v>45323</v>
      </c>
      <c r="S958" t="inlineStr">
        <is>
          <t>Ryan</t>
        </is>
      </c>
      <c r="T958" t="inlineStr">
        <is>
          <t>2024-01</t>
        </is>
      </c>
    </row>
    <row r="959">
      <c r="A959" s="16" t="n">
        <v>44960</v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A</t>
        </is>
      </c>
      <c r="G959" t="inlineStr">
        <is>
          <t>Retail</t>
        </is>
      </c>
      <c r="H959" t="n">
        <v>0.1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Cust 9384</t>
        </is>
      </c>
      <c r="P959" t="n">
        <v>17.94</v>
      </c>
      <c r="Q959" s="16" t="n">
        <v>44960</v>
      </c>
      <c r="R959" s="16" t="n">
        <v>44963</v>
      </c>
      <c r="S959" t="inlineStr">
        <is>
          <t>Eric</t>
        </is>
      </c>
      <c r="T959" t="inlineStr">
        <is>
          <t>2023-02</t>
        </is>
      </c>
    </row>
    <row r="960">
      <c r="A960" s="16" t="n">
        <v>45481</v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A</t>
        </is>
      </c>
      <c r="G960" t="inlineStr">
        <is>
          <t>Wholesale</t>
        </is>
      </c>
      <c r="H960" t="n">
        <v>0.1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Cust 3809</t>
        </is>
      </c>
      <c r="P960" t="n">
        <v>17.09</v>
      </c>
      <c r="Q960" s="16" t="n">
        <v>45481</v>
      </c>
      <c r="R960" s="16" t="n">
        <v>45487</v>
      </c>
      <c r="S960" t="inlineStr">
        <is>
          <t>Ryan</t>
        </is>
      </c>
      <c r="T960" t="inlineStr">
        <is>
          <t>2024-07</t>
        </is>
      </c>
    </row>
    <row r="961">
      <c r="A961" s="16" t="n">
        <v>45808</v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B</t>
        </is>
      </c>
      <c r="G961" t="inlineStr">
        <is>
          <t>Retail</t>
        </is>
      </c>
      <c r="H961" t="n">
        <v>0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Cust 9338</t>
        </is>
      </c>
      <c r="P961" t="n">
        <v>45.22</v>
      </c>
      <c r="Q961" s="16" t="n">
        <v>45808</v>
      </c>
      <c r="R961" s="16" t="n">
        <v>45818</v>
      </c>
      <c r="S961" t="inlineStr">
        <is>
          <t>Sophie</t>
        </is>
      </c>
      <c r="T961" t="inlineStr">
        <is>
          <t>2025-05</t>
        </is>
      </c>
    </row>
    <row r="962">
      <c r="A962" s="16" t="n">
        <v>45239</v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A</t>
        </is>
      </c>
      <c r="G962" t="inlineStr">
        <is>
          <t>Wholesale</t>
        </is>
      </c>
      <c r="H962" t="n">
        <v>0.15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Cust 1822</t>
        </is>
      </c>
      <c r="P962" t="n">
        <v>31.26</v>
      </c>
      <c r="Q962" s="16" t="n">
        <v>45239</v>
      </c>
      <c r="R962" s="16" t="n">
        <v>45242</v>
      </c>
      <c r="S962" t="inlineStr">
        <is>
          <t>Sophie</t>
        </is>
      </c>
      <c r="T962" t="inlineStr">
        <is>
          <t>2023-11</t>
        </is>
      </c>
    </row>
    <row r="963">
      <c r="A963" s="16" t="n">
        <v>45113</v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0.1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n">
        <v/>
      </c>
      <c r="M963" t="n">
        <v>1</v>
      </c>
      <c r="N963" t="inlineStr">
        <is>
          <t>REG100961</t>
        </is>
      </c>
      <c r="O963" t="inlineStr">
        <is>
          <t>Cust 8260</t>
        </is>
      </c>
      <c r="P963" t="n">
        <v>11.02</v>
      </c>
      <c r="Q963" s="16" t="n">
        <v>45113</v>
      </c>
      <c r="R963" s="16" t="n">
        <v>45117</v>
      </c>
      <c r="S963" t="inlineStr">
        <is>
          <t>Ryan</t>
        </is>
      </c>
      <c r="T963" t="inlineStr">
        <is>
          <t>2023-07</t>
        </is>
      </c>
    </row>
    <row r="964">
      <c r="A964" s="16" t="n">
        <v>45121</v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D</t>
        </is>
      </c>
      <c r="G964" t="inlineStr">
        <is>
          <t>Wholesale</t>
        </is>
      </c>
      <c r="H964" t="n">
        <v>0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Cust 7088</t>
        </is>
      </c>
      <c r="P964" t="n">
        <v>22.04</v>
      </c>
      <c r="Q964" s="16" t="n">
        <v>45121</v>
      </c>
      <c r="R964" s="16" t="n">
        <v>45129</v>
      </c>
      <c r="S964" t="inlineStr">
        <is>
          <t>Ryan</t>
        </is>
      </c>
      <c r="T964" t="inlineStr">
        <is>
          <t>2023-07</t>
        </is>
      </c>
    </row>
    <row r="965">
      <c r="A965" s="16" t="n">
        <v>45243</v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A</t>
        </is>
      </c>
      <c r="G965" t="inlineStr">
        <is>
          <t>Wholesale</t>
        </is>
      </c>
      <c r="H965" t="n">
        <v>0.1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Cust 4969</t>
        </is>
      </c>
      <c r="P965" t="n">
        <v>7.52</v>
      </c>
      <c r="Q965" s="16" t="n">
        <v>45243</v>
      </c>
      <c r="R965" s="16" t="n">
        <v>45245</v>
      </c>
      <c r="S965" t="inlineStr">
        <is>
          <t>Wendy</t>
        </is>
      </c>
      <c r="T965" t="inlineStr">
        <is>
          <t>2023-11</t>
        </is>
      </c>
    </row>
    <row r="966">
      <c r="A966" s="16" t="n">
        <v>45690</v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D</t>
        </is>
      </c>
      <c r="G966" t="inlineStr">
        <is>
          <t>Retail</t>
        </is>
      </c>
      <c r="H966" t="n">
        <v>0.05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n">
        <v/>
      </c>
      <c r="M966" t="n">
        <v>0</v>
      </c>
      <c r="N966" t="inlineStr">
        <is>
          <t>REG100964</t>
        </is>
      </c>
      <c r="O966" t="inlineStr">
        <is>
          <t>Cust 9046</t>
        </is>
      </c>
      <c r="P966" t="n">
        <v>47.01</v>
      </c>
      <c r="Q966" s="16" t="n">
        <v>45690</v>
      </c>
      <c r="R966" s="16" t="n">
        <v>45700</v>
      </c>
      <c r="S966" t="inlineStr">
        <is>
          <t>Wendy</t>
        </is>
      </c>
      <c r="T966" t="inlineStr">
        <is>
          <t>2025-02</t>
        </is>
      </c>
    </row>
    <row r="967">
      <c r="A967" s="16" t="n">
        <v>45418</v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A</t>
        </is>
      </c>
      <c r="G967" t="inlineStr">
        <is>
          <t>Wholesale</t>
        </is>
      </c>
      <c r="H967" t="n">
        <v>0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Cust 6859</t>
        </is>
      </c>
      <c r="P967" t="n">
        <v>6.8</v>
      </c>
      <c r="Q967" s="16" t="n">
        <v>45418</v>
      </c>
      <c r="R967" s="16" t="n">
        <v>45427</v>
      </c>
      <c r="S967" t="inlineStr">
        <is>
          <t>Sophie</t>
        </is>
      </c>
      <c r="T967" t="inlineStr">
        <is>
          <t>2024-05</t>
        </is>
      </c>
    </row>
    <row r="968">
      <c r="A968" s="16" t="n">
        <v>45582</v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D</t>
        </is>
      </c>
      <c r="G968" t="inlineStr">
        <is>
          <t>Retail</t>
        </is>
      </c>
      <c r="H968" t="n">
        <v>0.1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Cust 2800</t>
        </is>
      </c>
      <c r="P968" t="n">
        <v>13.35</v>
      </c>
      <c r="Q968" s="16" t="n">
        <v>45582</v>
      </c>
      <c r="R968" s="16" t="n">
        <v>45584</v>
      </c>
      <c r="S968" t="inlineStr">
        <is>
          <t>Sophie</t>
        </is>
      </c>
      <c r="T968" t="inlineStr">
        <is>
          <t>2024-10</t>
        </is>
      </c>
    </row>
    <row r="969">
      <c r="A969" s="16" t="n">
        <v>45686</v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0.1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Cust 1146</t>
        </is>
      </c>
      <c r="P969" t="n">
        <v>22.83</v>
      </c>
      <c r="Q969" s="16" t="n">
        <v>45686</v>
      </c>
      <c r="R969" s="16" t="n">
        <v>45693</v>
      </c>
      <c r="S969" t="inlineStr">
        <is>
          <t>Ryan</t>
        </is>
      </c>
      <c r="T969" t="inlineStr">
        <is>
          <t>2025-01</t>
        </is>
      </c>
    </row>
    <row r="970">
      <c r="A970" s="16" t="n">
        <v>45739</v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D</t>
        </is>
      </c>
      <c r="G970" t="inlineStr">
        <is>
          <t>Wholesale</t>
        </is>
      </c>
      <c r="H970" t="n">
        <v>0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Cust 6447</t>
        </is>
      </c>
      <c r="P970" t="n">
        <v>46.69</v>
      </c>
      <c r="Q970" s="16" t="n">
        <v>45739</v>
      </c>
      <c r="R970" s="16" t="n">
        <v>45745</v>
      </c>
      <c r="S970" t="inlineStr">
        <is>
          <t>Cameron</t>
        </is>
      </c>
      <c r="T970" t="inlineStr">
        <is>
          <t>2025-03</t>
        </is>
      </c>
    </row>
    <row r="971">
      <c r="A971" s="16" t="n">
        <v>45393</v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Cust 8519</t>
        </is>
      </c>
      <c r="P971" t="n">
        <v>6.91</v>
      </c>
      <c r="Q971" s="16" t="n">
        <v>45393</v>
      </c>
      <c r="R971" s="16" t="n">
        <v>45402</v>
      </c>
      <c r="S971" t="inlineStr">
        <is>
          <t>Wendy</t>
        </is>
      </c>
      <c r="T971" t="inlineStr">
        <is>
          <t>2024-04</t>
        </is>
      </c>
    </row>
    <row r="972">
      <c r="A972" s="16" t="n">
        <v>45415</v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0.1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Cust 3422</t>
        </is>
      </c>
      <c r="P972" t="n">
        <v>19.2</v>
      </c>
      <c r="Q972" s="16" t="n">
        <v>45415</v>
      </c>
      <c r="R972" s="16" t="n">
        <v>45424</v>
      </c>
      <c r="S972" t="inlineStr">
        <is>
          <t>Cameron</t>
        </is>
      </c>
      <c r="T972" t="inlineStr">
        <is>
          <t>2024-05</t>
        </is>
      </c>
    </row>
    <row r="973">
      <c r="A973" s="16" t="n">
        <v>45579</v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A</t>
        </is>
      </c>
      <c r="G973" t="inlineStr">
        <is>
          <t>Wholesale</t>
        </is>
      </c>
      <c r="H973" t="n">
        <v>0.15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Cust 9638</t>
        </is>
      </c>
      <c r="P973" t="n">
        <v>15.52</v>
      </c>
      <c r="Q973" s="16" t="n">
        <v>45579</v>
      </c>
      <c r="R973" s="16" t="n">
        <v>45586</v>
      </c>
      <c r="S973" t="inlineStr">
        <is>
          <t>Eric</t>
        </is>
      </c>
      <c r="T973" t="inlineStr">
        <is>
          <t>2024-10</t>
        </is>
      </c>
    </row>
    <row r="974">
      <c r="A974" s="16" t="n">
        <v>45330</v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C</t>
        </is>
      </c>
      <c r="G974" t="inlineStr">
        <is>
          <t>Wholesale</t>
        </is>
      </c>
      <c r="H974" t="n">
        <v>0.15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Cust 6438</t>
        </is>
      </c>
      <c r="P974" t="n">
        <v>47.43</v>
      </c>
      <c r="Q974" s="16" t="n">
        <v>45330</v>
      </c>
      <c r="R974" s="16" t="n">
        <v>45335</v>
      </c>
      <c r="S974" t="inlineStr">
        <is>
          <t>Wendy</t>
        </is>
      </c>
      <c r="T974" t="inlineStr">
        <is>
          <t>2024-02</t>
        </is>
      </c>
    </row>
    <row r="975">
      <c r="A975" s="16" t="n">
        <v>45056</v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B</t>
        </is>
      </c>
      <c r="G975" t="inlineStr">
        <is>
          <t>Retail</t>
        </is>
      </c>
      <c r="H975" t="n">
        <v>0.1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Cust 1724</t>
        </is>
      </c>
      <c r="P975" t="n">
        <v>34.75</v>
      </c>
      <c r="Q975" s="16" t="n">
        <v>45056</v>
      </c>
      <c r="R975" s="16" t="n">
        <v>45059</v>
      </c>
      <c r="S975" t="inlineStr">
        <is>
          <t>Cameron</t>
        </is>
      </c>
      <c r="T975" t="inlineStr">
        <is>
          <t>2023-05</t>
        </is>
      </c>
    </row>
    <row r="976">
      <c r="A976" s="16" t="n">
        <v>44988</v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C</t>
        </is>
      </c>
      <c r="G976" t="inlineStr">
        <is>
          <t>Wholesale</t>
        </is>
      </c>
      <c r="H976" t="n">
        <v>0.15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Cust 7808</t>
        </is>
      </c>
      <c r="P976" t="n">
        <v>6.13</v>
      </c>
      <c r="Q976" s="16" t="n">
        <v>44988</v>
      </c>
      <c r="R976" s="16" t="n">
        <v>44997</v>
      </c>
      <c r="S976" t="inlineStr">
        <is>
          <t>Ryan</t>
        </is>
      </c>
      <c r="T976" t="inlineStr">
        <is>
          <t>2023-03</t>
        </is>
      </c>
    </row>
    <row r="977">
      <c r="A977" s="16" t="n">
        <v>45798</v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0.1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Cust 3045</t>
        </is>
      </c>
      <c r="P977" t="n">
        <v>33.98</v>
      </c>
      <c r="Q977" s="16" t="n">
        <v>45798</v>
      </c>
      <c r="R977" s="16" t="n">
        <v>45804</v>
      </c>
      <c r="S977" t="inlineStr">
        <is>
          <t>Cameron</t>
        </is>
      </c>
      <c r="T977" t="inlineStr">
        <is>
          <t>2025-05</t>
        </is>
      </c>
    </row>
    <row r="978">
      <c r="A978" s="16" t="n">
        <v>45777</v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A</t>
        </is>
      </c>
      <c r="G978" t="inlineStr">
        <is>
          <t>Retail</t>
        </is>
      </c>
      <c r="H978" t="n">
        <v>0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Cust 7348</t>
        </is>
      </c>
      <c r="P978" t="n">
        <v>29.28</v>
      </c>
      <c r="Q978" s="16" t="n">
        <v>45777</v>
      </c>
      <c r="R978" s="16" t="n">
        <v>45784</v>
      </c>
      <c r="S978" t="inlineStr">
        <is>
          <t>Cameron</t>
        </is>
      </c>
      <c r="T978" t="inlineStr">
        <is>
          <t>2025-04</t>
        </is>
      </c>
    </row>
    <row r="979">
      <c r="A979" s="16" t="n">
        <v>45018</v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D</t>
        </is>
      </c>
      <c r="G979" t="inlineStr">
        <is>
          <t>Retail</t>
        </is>
      </c>
      <c r="H979" t="n">
        <v>0.15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Cust 5666</t>
        </is>
      </c>
      <c r="P979" t="n">
        <v>24.77</v>
      </c>
      <c r="Q979" s="16" t="n">
        <v>45018</v>
      </c>
      <c r="R979" s="16" t="n">
        <v>45020</v>
      </c>
      <c r="S979" t="inlineStr">
        <is>
          <t>Ryan</t>
        </is>
      </c>
      <c r="T979" t="inlineStr">
        <is>
          <t>2023-04</t>
        </is>
      </c>
    </row>
    <row r="980">
      <c r="A980" s="16" t="n">
        <v>45530</v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C</t>
        </is>
      </c>
      <c r="G980" t="inlineStr">
        <is>
          <t>Wholesale</t>
        </is>
      </c>
      <c r="H980" t="n">
        <v>0.05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Cust 4002</t>
        </is>
      </c>
      <c r="P980" t="n">
        <v>40.26</v>
      </c>
      <c r="Q980" s="16" t="n">
        <v>45530</v>
      </c>
      <c r="R980" s="16" t="n">
        <v>45540</v>
      </c>
      <c r="S980" t="inlineStr">
        <is>
          <t>Ryan</t>
        </is>
      </c>
      <c r="T980" t="inlineStr">
        <is>
          <t>2024-08</t>
        </is>
      </c>
    </row>
    <row r="981">
      <c r="A981" s="16" t="n">
        <v>45240</v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0.15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Cust 6675</t>
        </is>
      </c>
      <c r="P981" t="n">
        <v>28.98</v>
      </c>
      <c r="Q981" s="16" t="n">
        <v>45240</v>
      </c>
      <c r="R981" s="16" t="n">
        <v>45250</v>
      </c>
      <c r="S981" t="inlineStr">
        <is>
          <t>Sophie</t>
        </is>
      </c>
      <c r="T981" t="inlineStr">
        <is>
          <t>2023-11</t>
        </is>
      </c>
    </row>
    <row r="982">
      <c r="A982" s="16" t="n">
        <v>45684</v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C</t>
        </is>
      </c>
      <c r="G982" t="inlineStr">
        <is>
          <t>Wholesale</t>
        </is>
      </c>
      <c r="H982" t="n">
        <v>0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n">
        <v/>
      </c>
      <c r="M982" t="n">
        <v>1</v>
      </c>
      <c r="N982" t="inlineStr">
        <is>
          <t>REG100980</t>
        </is>
      </c>
      <c r="O982" t="inlineStr">
        <is>
          <t>Cust 5462</t>
        </is>
      </c>
      <c r="P982" t="n">
        <v>15.6</v>
      </c>
      <c r="Q982" s="16" t="n">
        <v>45684</v>
      </c>
      <c r="R982" s="16" t="n">
        <v>45690</v>
      </c>
      <c r="S982" t="inlineStr">
        <is>
          <t>Cameron</t>
        </is>
      </c>
      <c r="T982" t="inlineStr">
        <is>
          <t>2025-01</t>
        </is>
      </c>
    </row>
    <row r="983">
      <c r="A983" s="16" t="n">
        <v>45408</v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D</t>
        </is>
      </c>
      <c r="G983" t="inlineStr">
        <is>
          <t>Wholesale</t>
        </is>
      </c>
      <c r="H983" t="n">
        <v>0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Cust 3471</t>
        </is>
      </c>
      <c r="P983" t="n">
        <v>46.47</v>
      </c>
      <c r="Q983" s="16" t="n">
        <v>45408</v>
      </c>
      <c r="R983" s="16" t="n">
        <v>45412</v>
      </c>
      <c r="S983" t="inlineStr">
        <is>
          <t>Sophie</t>
        </is>
      </c>
      <c r="T983" t="inlineStr">
        <is>
          <t>2024-04</t>
        </is>
      </c>
    </row>
    <row r="984">
      <c r="A984" s="16" t="n">
        <v>45257</v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0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n">
        <v/>
      </c>
      <c r="M984" t="n">
        <v>0</v>
      </c>
      <c r="N984" t="inlineStr">
        <is>
          <t>REG100982</t>
        </is>
      </c>
      <c r="O984" t="inlineStr">
        <is>
          <t>Cust 1603</t>
        </is>
      </c>
      <c r="P984" t="n">
        <v>48.84</v>
      </c>
      <c r="Q984" s="16" t="n">
        <v>45257</v>
      </c>
      <c r="R984" s="16" t="n">
        <v>45261</v>
      </c>
      <c r="S984" t="inlineStr">
        <is>
          <t>Eric</t>
        </is>
      </c>
      <c r="T984" t="inlineStr">
        <is>
          <t>2023-11</t>
        </is>
      </c>
    </row>
    <row r="985">
      <c r="A985" s="16" t="n">
        <v>45015</v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A</t>
        </is>
      </c>
      <c r="G985" t="inlineStr">
        <is>
          <t>Wholesale</t>
        </is>
      </c>
      <c r="H985" t="n">
        <v>0.15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Cust 7758</t>
        </is>
      </c>
      <c r="P985" t="n">
        <v>36.56</v>
      </c>
      <c r="Q985" s="16" t="n">
        <v>45015</v>
      </c>
      <c r="R985" s="16" t="n">
        <v>45022</v>
      </c>
      <c r="S985" t="inlineStr">
        <is>
          <t>Cameron</t>
        </is>
      </c>
      <c r="T985" t="inlineStr">
        <is>
          <t>2023-03</t>
        </is>
      </c>
    </row>
    <row r="986">
      <c r="A986" s="16" t="n">
        <v>45355</v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A</t>
        </is>
      </c>
      <c r="G986" t="inlineStr">
        <is>
          <t>Wholesale</t>
        </is>
      </c>
      <c r="H986" t="n">
        <v>0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Cust 3396</t>
        </is>
      </c>
      <c r="P986" t="n">
        <v>43.84</v>
      </c>
      <c r="Q986" s="16" t="n">
        <v>45355</v>
      </c>
      <c r="R986" s="16" t="n">
        <v>45362</v>
      </c>
      <c r="S986" t="inlineStr">
        <is>
          <t>Ryan</t>
        </is>
      </c>
      <c r="T986" t="inlineStr">
        <is>
          <t>2024-03</t>
        </is>
      </c>
    </row>
    <row r="987">
      <c r="A987" s="16" t="n">
        <v>45118</v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C</t>
        </is>
      </c>
      <c r="G987" t="inlineStr">
        <is>
          <t>Wholesale</t>
        </is>
      </c>
      <c r="H987" t="n">
        <v>0.1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Cust 4797</t>
        </is>
      </c>
      <c r="P987" t="n">
        <v>36.73</v>
      </c>
      <c r="Q987" s="16" t="n">
        <v>45118</v>
      </c>
      <c r="R987" s="16" t="n">
        <v>45122</v>
      </c>
      <c r="S987" t="inlineStr">
        <is>
          <t>Sophie</t>
        </is>
      </c>
      <c r="T987" t="inlineStr">
        <is>
          <t>2023-07</t>
        </is>
      </c>
    </row>
    <row r="988">
      <c r="A988" s="16" t="n">
        <v>45555</v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D</t>
        </is>
      </c>
      <c r="G988" t="inlineStr">
        <is>
          <t>Retail</t>
        </is>
      </c>
      <c r="H988" t="n">
        <v>0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Cust 1113</t>
        </is>
      </c>
      <c r="P988" t="n">
        <v>14.67</v>
      </c>
      <c r="Q988" s="16" t="n">
        <v>45555</v>
      </c>
      <c r="R988" s="16" t="n">
        <v>45564</v>
      </c>
      <c r="S988" t="inlineStr">
        <is>
          <t>Wendy</t>
        </is>
      </c>
      <c r="T988" t="inlineStr">
        <is>
          <t>2024-09</t>
        </is>
      </c>
    </row>
    <row r="989">
      <c r="A989" s="16" t="n">
        <v>45706</v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D</t>
        </is>
      </c>
      <c r="G989" t="inlineStr">
        <is>
          <t>Retail</t>
        </is>
      </c>
      <c r="H989" t="n">
        <v>0.1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Cust 8843</t>
        </is>
      </c>
      <c r="P989" t="n">
        <v>11.11</v>
      </c>
      <c r="Q989" s="16" t="n">
        <v>45706</v>
      </c>
      <c r="R989" s="16" t="n">
        <v>45712</v>
      </c>
      <c r="S989" t="inlineStr">
        <is>
          <t>Wendy</t>
        </is>
      </c>
      <c r="T989" t="inlineStr">
        <is>
          <t>2025-02</t>
        </is>
      </c>
    </row>
    <row r="990">
      <c r="A990" s="16" t="n">
        <v>45489</v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0.15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n">
        <v/>
      </c>
      <c r="M990" t="n">
        <v>0</v>
      </c>
      <c r="N990" t="inlineStr">
        <is>
          <t>REG100988</t>
        </is>
      </c>
      <c r="O990" t="inlineStr">
        <is>
          <t>Cust 7505</t>
        </is>
      </c>
      <c r="P990" t="n">
        <v>42.72</v>
      </c>
      <c r="Q990" s="16" t="n">
        <v>45489</v>
      </c>
      <c r="R990" s="16" t="n">
        <v>45493</v>
      </c>
      <c r="S990" t="inlineStr">
        <is>
          <t>Eric</t>
        </is>
      </c>
      <c r="T990" t="inlineStr">
        <is>
          <t>2024-07</t>
        </is>
      </c>
    </row>
    <row r="991">
      <c r="A991" s="16" t="n">
        <v>45253</v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D</t>
        </is>
      </c>
      <c r="G991" t="inlineStr">
        <is>
          <t>Retail</t>
        </is>
      </c>
      <c r="H991" t="n">
        <v>0.1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Cust 9490</t>
        </is>
      </c>
      <c r="P991" t="n">
        <v>49.64</v>
      </c>
      <c r="Q991" s="16" t="n">
        <v>45253</v>
      </c>
      <c r="R991" s="16" t="n">
        <v>45255</v>
      </c>
      <c r="S991" t="inlineStr">
        <is>
          <t>Eric</t>
        </is>
      </c>
      <c r="T991" t="inlineStr">
        <is>
          <t>2023-11</t>
        </is>
      </c>
    </row>
    <row r="992">
      <c r="A992" s="16" t="n">
        <v>45176</v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D</t>
        </is>
      </c>
      <c r="G992" t="inlineStr">
        <is>
          <t>Wholesale</t>
        </is>
      </c>
      <c r="H992" t="n">
        <v>0.1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Cust 8631</t>
        </is>
      </c>
      <c r="P992" t="n">
        <v>7.33</v>
      </c>
      <c r="Q992" s="16" t="n">
        <v>45176</v>
      </c>
      <c r="R992" s="16" t="n">
        <v>45178</v>
      </c>
      <c r="S992" t="inlineStr">
        <is>
          <t>Sophie</t>
        </is>
      </c>
      <c r="T992" t="inlineStr">
        <is>
          <t>2023-09</t>
        </is>
      </c>
    </row>
    <row r="993">
      <c r="A993" s="16" t="n">
        <v>45323</v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0.15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n">
        <v/>
      </c>
      <c r="M993" t="n">
        <v>1</v>
      </c>
      <c r="N993" t="inlineStr">
        <is>
          <t>REG100991</t>
        </is>
      </c>
      <c r="O993" t="inlineStr">
        <is>
          <t>Cust 6986</t>
        </is>
      </c>
      <c r="P993" t="n">
        <v>48.42</v>
      </c>
      <c r="Q993" s="16" t="n">
        <v>45323</v>
      </c>
      <c r="R993" s="16" t="n">
        <v>45326</v>
      </c>
      <c r="S993" t="inlineStr">
        <is>
          <t>Wendy</t>
        </is>
      </c>
      <c r="T993" t="inlineStr">
        <is>
          <t>2024-02</t>
        </is>
      </c>
    </row>
    <row r="994">
      <c r="A994" s="16" t="n">
        <v>45785</v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D</t>
        </is>
      </c>
      <c r="G994" t="inlineStr">
        <is>
          <t>Wholesale</t>
        </is>
      </c>
      <c r="H994" t="n">
        <v>0.1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Cust 9636</t>
        </is>
      </c>
      <c r="P994" t="n">
        <v>36.59</v>
      </c>
      <c r="Q994" s="16" t="n">
        <v>45785</v>
      </c>
      <c r="R994" s="16" t="n">
        <v>45789</v>
      </c>
      <c r="S994" t="inlineStr">
        <is>
          <t>Sophie</t>
        </is>
      </c>
      <c r="T994" t="inlineStr">
        <is>
          <t>2025-05</t>
        </is>
      </c>
    </row>
    <row r="995">
      <c r="A995" s="16" t="n">
        <v>45674</v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0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Cust 7367</t>
        </is>
      </c>
      <c r="P995" t="n">
        <v>28.5</v>
      </c>
      <c r="Q995" s="16" t="n">
        <v>45674</v>
      </c>
      <c r="R995" s="16" t="n">
        <v>45681</v>
      </c>
      <c r="S995" t="inlineStr">
        <is>
          <t>Ryan</t>
        </is>
      </c>
      <c r="T995" t="inlineStr">
        <is>
          <t>2025-01</t>
        </is>
      </c>
    </row>
    <row r="996">
      <c r="A996" s="16" t="n">
        <v>45171</v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D</t>
        </is>
      </c>
      <c r="G996" t="inlineStr">
        <is>
          <t>Wholesale</t>
        </is>
      </c>
      <c r="H996" t="n">
        <v>0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Cust 1943</t>
        </is>
      </c>
      <c r="P996" t="n">
        <v>30.78</v>
      </c>
      <c r="Q996" s="16" t="n">
        <v>45171</v>
      </c>
      <c r="R996" s="16" t="n">
        <v>45177</v>
      </c>
      <c r="S996" t="inlineStr">
        <is>
          <t>Eric</t>
        </is>
      </c>
      <c r="T996" t="inlineStr">
        <is>
          <t>2023-09</t>
        </is>
      </c>
    </row>
    <row r="997">
      <c r="A997" s="16" t="n">
        <v>45100</v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D</t>
        </is>
      </c>
      <c r="G997" t="inlineStr">
        <is>
          <t>Retail</t>
        </is>
      </c>
      <c r="H997" t="n">
        <v>0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Cust 6368</t>
        </is>
      </c>
      <c r="P997" t="n">
        <v>18.2</v>
      </c>
      <c r="Q997" s="16" t="n">
        <v>45100</v>
      </c>
      <c r="R997" s="16" t="n">
        <v>45108</v>
      </c>
      <c r="S997" t="inlineStr">
        <is>
          <t>Cameron</t>
        </is>
      </c>
      <c r="T997" t="inlineStr">
        <is>
          <t>2023-06</t>
        </is>
      </c>
    </row>
    <row r="998">
      <c r="A998" s="16" t="n">
        <v>45311</v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0.1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n">
        <v/>
      </c>
      <c r="M998" t="n">
        <v>0</v>
      </c>
      <c r="N998" t="inlineStr">
        <is>
          <t>REG100996</t>
        </is>
      </c>
      <c r="O998" t="inlineStr">
        <is>
          <t>Cust 9724</t>
        </is>
      </c>
      <c r="P998" t="n">
        <v>25.96</v>
      </c>
      <c r="Q998" s="16" t="n">
        <v>45311</v>
      </c>
      <c r="R998" s="16" t="n">
        <v>45317</v>
      </c>
      <c r="S998" t="inlineStr">
        <is>
          <t>Eric</t>
        </is>
      </c>
      <c r="T998" t="inlineStr">
        <is>
          <t>2024-01</t>
        </is>
      </c>
    </row>
    <row r="999">
      <c r="A999" s="16" t="n">
        <v>45469</v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B</t>
        </is>
      </c>
      <c r="G999" t="inlineStr">
        <is>
          <t>Wholesale</t>
        </is>
      </c>
      <c r="H999" t="n">
        <v>0.05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Cust 1983</t>
        </is>
      </c>
      <c r="P999" t="n">
        <v>44.77</v>
      </c>
      <c r="Q999" s="16" t="n">
        <v>45469</v>
      </c>
      <c r="R999" s="16" t="n">
        <v>45479</v>
      </c>
      <c r="S999" t="inlineStr">
        <is>
          <t>Eric</t>
        </is>
      </c>
      <c r="T999" t="inlineStr">
        <is>
          <t>2024-06</t>
        </is>
      </c>
    </row>
    <row r="1000">
      <c r="A1000" s="16" t="n">
        <v>45638</v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0.1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Cust 8723</t>
        </is>
      </c>
      <c r="P1000" t="n">
        <v>13.45</v>
      </c>
      <c r="Q1000" s="16" t="n">
        <v>45638</v>
      </c>
      <c r="R1000" s="16" t="n">
        <v>45643</v>
      </c>
      <c r="S1000" t="inlineStr">
        <is>
          <t>Cameron</t>
        </is>
      </c>
      <c r="T1000" t="inlineStr">
        <is>
          <t>2024-12</t>
        </is>
      </c>
    </row>
    <row r="1001">
      <c r="A1001" s="16" t="n">
        <v>45343</v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B</t>
        </is>
      </c>
      <c r="G1001" t="inlineStr">
        <is>
          <t>Wholesale</t>
        </is>
      </c>
      <c r="H1001" t="n">
        <v>0.05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Cust 1901</t>
        </is>
      </c>
      <c r="P1001" t="n">
        <v>18.21</v>
      </c>
      <c r="Q1001" s="16" t="n">
        <v>45343</v>
      </c>
      <c r="R1001" s="16" t="n">
        <v>45352</v>
      </c>
      <c r="S1001" t="inlineStr">
        <is>
          <t>Eric</t>
        </is>
      </c>
      <c r="T1001" t="inlineStr">
        <is>
          <t>2024-02</t>
        </is>
      </c>
    </row>
    <row r="1002">
      <c r="A1002" s="16" t="n">
        <v>45125</v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D</t>
        </is>
      </c>
      <c r="G1002" t="inlineStr">
        <is>
          <t>Wholesale</t>
        </is>
      </c>
      <c r="H1002" t="n">
        <v>0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Cust 9682</t>
        </is>
      </c>
      <c r="P1002" t="n">
        <v>29.06</v>
      </c>
      <c r="Q1002" s="16" t="n">
        <v>45125</v>
      </c>
      <c r="R1002" s="16" t="n">
        <v>45132</v>
      </c>
      <c r="S1002" t="inlineStr">
        <is>
          <t>Eric</t>
        </is>
      </c>
      <c r="T1002" t="inlineStr">
        <is>
          <t>2023-07</t>
        </is>
      </c>
    </row>
    <row r="1003">
      <c r="A1003" s="16" t="n">
        <v>45567</v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D</t>
        </is>
      </c>
      <c r="G1003" t="inlineStr">
        <is>
          <t>Wholesale</t>
        </is>
      </c>
      <c r="H1003" t="n">
        <v>0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Cust 5413</t>
        </is>
      </c>
      <c r="P1003" t="n">
        <v>34.16</v>
      </c>
      <c r="Q1003" s="16" t="n">
        <v>45567</v>
      </c>
      <c r="R1003" s="16" t="n">
        <v>45571</v>
      </c>
      <c r="S1003" t="inlineStr">
        <is>
          <t>Ryan</t>
        </is>
      </c>
      <c r="T1003" t="inlineStr">
        <is>
          <t>2024-10</t>
        </is>
      </c>
    </row>
    <row r="1004">
      <c r="A1004" s="16" t="n">
        <v>45627</v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0.15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Cust 9590</t>
        </is>
      </c>
      <c r="P1004" t="n">
        <v>17.74</v>
      </c>
      <c r="Q1004" s="16" t="n">
        <v>45627</v>
      </c>
      <c r="R1004" s="16" t="n">
        <v>45630</v>
      </c>
      <c r="S1004" t="inlineStr">
        <is>
          <t>Wendy</t>
        </is>
      </c>
      <c r="T1004" t="inlineStr">
        <is>
          <t>2024-12</t>
        </is>
      </c>
    </row>
    <row r="1005">
      <c r="A1005" s="16" t="n">
        <v>45538</v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D</t>
        </is>
      </c>
      <c r="G1005" t="inlineStr">
        <is>
          <t>Retail</t>
        </is>
      </c>
      <c r="H1005" t="n">
        <v>0.15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n">
        <v/>
      </c>
      <c r="M1005" t="n">
        <v>0</v>
      </c>
      <c r="N1005" t="inlineStr">
        <is>
          <t>REG101003</t>
        </is>
      </c>
      <c r="O1005" t="inlineStr">
        <is>
          <t>Cust 9379</t>
        </is>
      </c>
      <c r="P1005" t="n">
        <v>5.19</v>
      </c>
      <c r="Q1005" s="16" t="n">
        <v>45538</v>
      </c>
      <c r="R1005" s="16" t="n">
        <v>45547</v>
      </c>
      <c r="S1005" t="inlineStr">
        <is>
          <t>Eric</t>
        </is>
      </c>
      <c r="T1005" t="inlineStr">
        <is>
          <t>2024-09</t>
        </is>
      </c>
    </row>
    <row r="1006">
      <c r="A1006" s="16" t="n">
        <v>45710</v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C</t>
        </is>
      </c>
      <c r="G1006" t="inlineStr">
        <is>
          <t>Retail</t>
        </is>
      </c>
      <c r="H1006" t="n">
        <v>0.15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Cust 4722</t>
        </is>
      </c>
      <c r="P1006" t="n">
        <v>44.91</v>
      </c>
      <c r="Q1006" s="16" t="n">
        <v>45710</v>
      </c>
      <c r="R1006" s="16" t="n">
        <v>45717</v>
      </c>
      <c r="S1006" t="inlineStr">
        <is>
          <t>Wendy</t>
        </is>
      </c>
      <c r="T1006" t="inlineStr">
        <is>
          <t>2025-02</t>
        </is>
      </c>
    </row>
    <row r="1007">
      <c r="A1007" s="16" t="n">
        <v>45788</v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D</t>
        </is>
      </c>
      <c r="G1007" t="inlineStr">
        <is>
          <t>Retail</t>
        </is>
      </c>
      <c r="H1007" t="n">
        <v>0.15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Cust 7152</t>
        </is>
      </c>
      <c r="P1007" t="n">
        <v>20.5</v>
      </c>
      <c r="Q1007" s="16" t="n">
        <v>45788</v>
      </c>
      <c r="R1007" s="16" t="n">
        <v>45790</v>
      </c>
      <c r="S1007" t="inlineStr">
        <is>
          <t>Wendy</t>
        </is>
      </c>
      <c r="T1007" t="inlineStr">
        <is>
          <t>2025-05</t>
        </is>
      </c>
    </row>
    <row r="1008">
      <c r="A1008" s="16" t="n">
        <v>45646</v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B</t>
        </is>
      </c>
      <c r="G1008" t="inlineStr">
        <is>
          <t>Wholesale</t>
        </is>
      </c>
      <c r="H1008" t="n">
        <v>0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Cust 7255</t>
        </is>
      </c>
      <c r="P1008" t="n">
        <v>25.94</v>
      </c>
      <c r="Q1008" s="16" t="n">
        <v>45646</v>
      </c>
      <c r="R1008" s="16" t="n">
        <v>45655</v>
      </c>
      <c r="S1008" t="inlineStr">
        <is>
          <t>Cameron</t>
        </is>
      </c>
      <c r="T1008" t="inlineStr">
        <is>
          <t>2024-12</t>
        </is>
      </c>
    </row>
    <row r="1009">
      <c r="A1009" s="16" t="n">
        <v>45034</v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D</t>
        </is>
      </c>
      <c r="G1009" t="inlineStr">
        <is>
          <t>Retail</t>
        </is>
      </c>
      <c r="H1009" t="n">
        <v>0.05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Cust 9593</t>
        </is>
      </c>
      <c r="P1009" t="n">
        <v>6.91</v>
      </c>
      <c r="Q1009" s="16" t="n">
        <v>45034</v>
      </c>
      <c r="R1009" s="16" t="n">
        <v>45037</v>
      </c>
      <c r="S1009" t="inlineStr">
        <is>
          <t>Eric</t>
        </is>
      </c>
      <c r="T1009" t="inlineStr">
        <is>
          <t>2023-04</t>
        </is>
      </c>
    </row>
    <row r="1010">
      <c r="A1010" s="16" t="n">
        <v>45533</v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C</t>
        </is>
      </c>
      <c r="G1010" t="inlineStr">
        <is>
          <t>Wholesale</t>
        </is>
      </c>
      <c r="H1010" t="n">
        <v>0.1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Cust 3829</t>
        </is>
      </c>
      <c r="P1010" t="n">
        <v>30.71</v>
      </c>
      <c r="Q1010" s="16" t="n">
        <v>45533</v>
      </c>
      <c r="R1010" s="16" t="n">
        <v>45538</v>
      </c>
      <c r="S1010" t="inlineStr">
        <is>
          <t>Eric</t>
        </is>
      </c>
      <c r="T1010" t="inlineStr">
        <is>
          <t>2024-08</t>
        </is>
      </c>
    </row>
    <row r="1011">
      <c r="A1011" s="16" t="n">
        <v>45172</v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B</t>
        </is>
      </c>
      <c r="G1011" t="inlineStr">
        <is>
          <t>Retail</t>
        </is>
      </c>
      <c r="H1011" t="n">
        <v>0.05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Cust 2561</t>
        </is>
      </c>
      <c r="P1011" t="n">
        <v>26.87</v>
      </c>
      <c r="Q1011" s="16" t="n">
        <v>45172</v>
      </c>
      <c r="R1011" s="16" t="n">
        <v>45179</v>
      </c>
      <c r="S1011" t="inlineStr">
        <is>
          <t>Ryan</t>
        </is>
      </c>
      <c r="T1011" t="inlineStr">
        <is>
          <t>2023-09</t>
        </is>
      </c>
    </row>
    <row r="1012">
      <c r="A1012" s="16" t="n">
        <v>45796</v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C</t>
        </is>
      </c>
      <c r="G1012" t="inlineStr">
        <is>
          <t>Wholesale</t>
        </is>
      </c>
      <c r="H1012" t="n">
        <v>0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Cust 8387</t>
        </is>
      </c>
      <c r="P1012" t="n">
        <v>36.73</v>
      </c>
      <c r="Q1012" s="16" t="n">
        <v>45796</v>
      </c>
      <c r="R1012" s="16" t="n">
        <v>45801</v>
      </c>
      <c r="S1012" t="inlineStr">
        <is>
          <t>Eric</t>
        </is>
      </c>
      <c r="T1012" t="inlineStr">
        <is>
          <t>2025-05</t>
        </is>
      </c>
    </row>
    <row r="1013">
      <c r="A1013" s="16" t="n">
        <v>45095</v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A</t>
        </is>
      </c>
      <c r="G1013" t="inlineStr">
        <is>
          <t>Wholesale</t>
        </is>
      </c>
      <c r="H1013" t="n">
        <v>0.1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Cust 2860</t>
        </is>
      </c>
      <c r="P1013" t="n">
        <v>31.95</v>
      </c>
      <c r="Q1013" s="16" t="n">
        <v>45095</v>
      </c>
      <c r="R1013" s="16" t="n">
        <v>45103</v>
      </c>
      <c r="S1013" t="inlineStr">
        <is>
          <t>Eric</t>
        </is>
      </c>
      <c r="T1013" t="inlineStr">
        <is>
          <t>2023-06</t>
        </is>
      </c>
    </row>
    <row r="1014">
      <c r="A1014" s="16" t="n">
        <v>45826</v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D</t>
        </is>
      </c>
      <c r="G1014" t="inlineStr">
        <is>
          <t>Wholesale</t>
        </is>
      </c>
      <c r="H1014" t="n">
        <v>0.1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Cust 7794</t>
        </is>
      </c>
      <c r="P1014" t="n">
        <v>46.76</v>
      </c>
      <c r="Q1014" s="16" t="n">
        <v>45826</v>
      </c>
      <c r="R1014" s="16" t="n">
        <v>45830</v>
      </c>
      <c r="S1014" t="inlineStr">
        <is>
          <t>Wendy</t>
        </is>
      </c>
      <c r="T1014" t="inlineStr">
        <is>
          <t>2025-06</t>
        </is>
      </c>
    </row>
    <row r="1015">
      <c r="A1015" s="16" t="n">
        <v>45564</v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C</t>
        </is>
      </c>
      <c r="G1015" t="inlineStr">
        <is>
          <t>Retail</t>
        </is>
      </c>
      <c r="H1015" t="n">
        <v>0.05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Cust 6075</t>
        </is>
      </c>
      <c r="P1015" t="n">
        <v>26.4</v>
      </c>
      <c r="Q1015" s="16" t="n">
        <v>45564</v>
      </c>
      <c r="R1015" s="16" t="n">
        <v>45572</v>
      </c>
      <c r="S1015" t="inlineStr">
        <is>
          <t>Sophie</t>
        </is>
      </c>
      <c r="T1015" t="inlineStr">
        <is>
          <t>2024-09</t>
        </is>
      </c>
    </row>
    <row r="1016">
      <c r="A1016" s="16" t="n">
        <v>45347</v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C</t>
        </is>
      </c>
      <c r="G1016" t="inlineStr">
        <is>
          <t>Retail</t>
        </is>
      </c>
      <c r="H1016" t="n">
        <v>0.15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Cust 4337</t>
        </is>
      </c>
      <c r="P1016" t="n">
        <v>33.6</v>
      </c>
      <c r="Q1016" s="16" t="n">
        <v>45347</v>
      </c>
      <c r="R1016" s="16" t="n">
        <v>45355</v>
      </c>
      <c r="S1016" t="inlineStr">
        <is>
          <t>Eric</t>
        </is>
      </c>
      <c r="T1016" t="inlineStr">
        <is>
          <t>2024-02</t>
        </is>
      </c>
    </row>
    <row r="1017">
      <c r="A1017" s="16" t="n">
        <v>45372</v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C</t>
        </is>
      </c>
      <c r="G1017" t="inlineStr">
        <is>
          <t>Wholesale</t>
        </is>
      </c>
      <c r="H1017" t="n">
        <v>0.05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Cust 2540</t>
        </is>
      </c>
      <c r="P1017" t="n">
        <v>20.23</v>
      </c>
      <c r="Q1017" s="16" t="n">
        <v>45372</v>
      </c>
      <c r="R1017" s="16" t="n">
        <v>45381</v>
      </c>
      <c r="S1017" t="inlineStr">
        <is>
          <t>Ryan</t>
        </is>
      </c>
      <c r="T1017" t="inlineStr">
        <is>
          <t>2024-03</t>
        </is>
      </c>
    </row>
    <row r="1018">
      <c r="A1018" s="16" t="n">
        <v>45325</v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B</t>
        </is>
      </c>
      <c r="G1018" t="inlineStr">
        <is>
          <t>Retail</t>
        </is>
      </c>
      <c r="H1018" t="n">
        <v>0.1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Cust 3944</t>
        </is>
      </c>
      <c r="P1018" t="n">
        <v>28.09</v>
      </c>
      <c r="Q1018" s="16" t="n">
        <v>45325</v>
      </c>
      <c r="R1018" s="16" t="n">
        <v>45331</v>
      </c>
      <c r="S1018" t="inlineStr">
        <is>
          <t>Ryan</t>
        </is>
      </c>
      <c r="T1018" t="inlineStr">
        <is>
          <t>2024-02</t>
        </is>
      </c>
    </row>
    <row r="1019">
      <c r="A1019" s="16" t="n">
        <v>45251</v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D</t>
        </is>
      </c>
      <c r="G1019" t="inlineStr">
        <is>
          <t>Retail</t>
        </is>
      </c>
      <c r="H1019" t="n">
        <v>0.1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Cust 8876</t>
        </is>
      </c>
      <c r="P1019" t="n">
        <v>43.32</v>
      </c>
      <c r="Q1019" s="16" t="n">
        <v>45251</v>
      </c>
      <c r="R1019" s="16" t="n">
        <v>45254</v>
      </c>
      <c r="S1019" t="inlineStr">
        <is>
          <t>Sophie</t>
        </is>
      </c>
      <c r="T1019" t="inlineStr">
        <is>
          <t>2023-11</t>
        </is>
      </c>
    </row>
    <row r="1020">
      <c r="A1020" s="16" t="n">
        <v>44936</v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0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n">
        <v/>
      </c>
      <c r="M1020" t="n">
        <v>0</v>
      </c>
      <c r="N1020" t="inlineStr">
        <is>
          <t>REG101018</t>
        </is>
      </c>
      <c r="O1020" t="inlineStr">
        <is>
          <t>Cust 3286</t>
        </is>
      </c>
      <c r="P1020" t="n">
        <v>14.94</v>
      </c>
      <c r="Q1020" s="16" t="n">
        <v>44936</v>
      </c>
      <c r="R1020" s="16" t="n">
        <v>44944</v>
      </c>
      <c r="S1020" t="inlineStr">
        <is>
          <t>Wendy</t>
        </is>
      </c>
      <c r="T1020" t="inlineStr">
        <is>
          <t>2023-01</t>
        </is>
      </c>
    </row>
    <row r="1021">
      <c r="A1021" s="16" t="n">
        <v>44963</v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C</t>
        </is>
      </c>
      <c r="G1021" t="inlineStr">
        <is>
          <t>Retail</t>
        </is>
      </c>
      <c r="H1021" t="n">
        <v>0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Cust 4990</t>
        </is>
      </c>
      <c r="P1021" t="n">
        <v>18.91</v>
      </c>
      <c r="Q1021" s="16" t="n">
        <v>44963</v>
      </c>
      <c r="R1021" s="16" t="n">
        <v>44967</v>
      </c>
      <c r="S1021" t="inlineStr">
        <is>
          <t>Cameron</t>
        </is>
      </c>
      <c r="T1021" t="inlineStr">
        <is>
          <t>2023-02</t>
        </is>
      </c>
    </row>
    <row r="1022">
      <c r="A1022" s="16" t="n">
        <v>45757</v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A</t>
        </is>
      </c>
      <c r="G1022" t="inlineStr">
        <is>
          <t>Retail</t>
        </is>
      </c>
      <c r="H1022" t="n">
        <v>0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Cust 8706</t>
        </is>
      </c>
      <c r="P1022" t="n">
        <v>13.82</v>
      </c>
      <c r="Q1022" s="16" t="n">
        <v>45757</v>
      </c>
      <c r="R1022" s="16" t="n">
        <v>45767</v>
      </c>
      <c r="S1022" t="inlineStr">
        <is>
          <t>Ryan</t>
        </is>
      </c>
      <c r="T1022" t="inlineStr">
        <is>
          <t>2025-04</t>
        </is>
      </c>
    </row>
    <row r="1023">
      <c r="A1023" s="16" t="n">
        <v>45336</v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A</t>
        </is>
      </c>
      <c r="G1023" t="inlineStr">
        <is>
          <t>Retail</t>
        </is>
      </c>
      <c r="H1023" t="n">
        <v>0.05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n">
        <v/>
      </c>
      <c r="M1023" t="n">
        <v>0</v>
      </c>
      <c r="N1023" t="inlineStr">
        <is>
          <t>REG101021</t>
        </is>
      </c>
      <c r="O1023" t="inlineStr">
        <is>
          <t>Cust 2608</t>
        </is>
      </c>
      <c r="P1023" t="n">
        <v>33.2</v>
      </c>
      <c r="Q1023" s="16" t="n">
        <v>45336</v>
      </c>
      <c r="R1023" s="16" t="n">
        <v>45343</v>
      </c>
      <c r="S1023" t="inlineStr">
        <is>
          <t>Eric</t>
        </is>
      </c>
      <c r="T1023" t="inlineStr">
        <is>
          <t>2024-02</t>
        </is>
      </c>
    </row>
    <row r="1024">
      <c r="A1024" s="16" t="n">
        <v>45803</v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D</t>
        </is>
      </c>
      <c r="G1024" t="inlineStr">
        <is>
          <t>Retail</t>
        </is>
      </c>
      <c r="H1024" t="n">
        <v>0.1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n">
        <v/>
      </c>
      <c r="M1024" t="n">
        <v>1</v>
      </c>
      <c r="N1024" t="inlineStr">
        <is>
          <t>REG101022</t>
        </is>
      </c>
      <c r="O1024" t="inlineStr">
        <is>
          <t>Cust 3290</t>
        </is>
      </c>
      <c r="P1024" t="n">
        <v>17.76</v>
      </c>
      <c r="Q1024" s="16" t="n">
        <v>45803</v>
      </c>
      <c r="R1024" s="16" t="n">
        <v>45806</v>
      </c>
      <c r="S1024" t="inlineStr">
        <is>
          <t>Eric</t>
        </is>
      </c>
      <c r="T1024" t="inlineStr">
        <is>
          <t>2025-05</t>
        </is>
      </c>
    </row>
    <row r="1025">
      <c r="A1025" s="16" t="n">
        <v>45181</v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A</t>
        </is>
      </c>
      <c r="G1025" t="inlineStr">
        <is>
          <t>Wholesale</t>
        </is>
      </c>
      <c r="H1025" t="n">
        <v>0.15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Cust 3892</t>
        </is>
      </c>
      <c r="P1025" t="n">
        <v>13.09</v>
      </c>
      <c r="Q1025" s="16" t="n">
        <v>45181</v>
      </c>
      <c r="R1025" s="16" t="n">
        <v>45188</v>
      </c>
      <c r="S1025" t="inlineStr">
        <is>
          <t>Wendy</t>
        </is>
      </c>
      <c r="T1025" t="inlineStr">
        <is>
          <t>2023-09</t>
        </is>
      </c>
    </row>
    <row r="1026">
      <c r="A1026" s="16" t="n">
        <v>45063</v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C</t>
        </is>
      </c>
      <c r="G1026" t="inlineStr">
        <is>
          <t>Wholesale</t>
        </is>
      </c>
      <c r="H1026" t="n">
        <v>0.15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Cust 6979</t>
        </is>
      </c>
      <c r="P1026" t="n">
        <v>22.2</v>
      </c>
      <c r="Q1026" s="16" t="n">
        <v>45063</v>
      </c>
      <c r="R1026" s="16" t="n">
        <v>45072</v>
      </c>
      <c r="S1026" t="inlineStr">
        <is>
          <t>Eric</t>
        </is>
      </c>
      <c r="T1026" t="inlineStr">
        <is>
          <t>2023-05</t>
        </is>
      </c>
    </row>
    <row r="1027">
      <c r="A1027" s="16" t="n">
        <v>45320</v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B</t>
        </is>
      </c>
      <c r="G1027" t="inlineStr">
        <is>
          <t>Wholesale</t>
        </is>
      </c>
      <c r="H1027" t="n">
        <v>0.05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Cust 9375</t>
        </is>
      </c>
      <c r="P1027" t="n">
        <v>38.46</v>
      </c>
      <c r="Q1027" s="16" t="n">
        <v>45320</v>
      </c>
      <c r="R1027" s="16" t="n">
        <v>45322</v>
      </c>
      <c r="S1027" t="inlineStr">
        <is>
          <t>Wendy</t>
        </is>
      </c>
      <c r="T1027" t="inlineStr">
        <is>
          <t>2024-01</t>
        </is>
      </c>
    </row>
    <row r="1028">
      <c r="A1028" s="16" t="n">
        <v>45786</v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0.05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Cust 9311</t>
        </is>
      </c>
      <c r="P1028" t="n">
        <v>30.03</v>
      </c>
      <c r="Q1028" s="16" t="n">
        <v>45786</v>
      </c>
      <c r="R1028" s="16" t="n">
        <v>45795</v>
      </c>
      <c r="S1028" t="inlineStr">
        <is>
          <t>Ryan</t>
        </is>
      </c>
      <c r="T1028" t="inlineStr">
        <is>
          <t>2025-05</t>
        </is>
      </c>
    </row>
    <row r="1029">
      <c r="A1029" s="16" t="n">
        <v>45387</v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A</t>
        </is>
      </c>
      <c r="G1029" t="inlineStr">
        <is>
          <t>Retail</t>
        </is>
      </c>
      <c r="H1029" t="n">
        <v>0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n">
        <v/>
      </c>
      <c r="M1029" t="n">
        <v>0</v>
      </c>
      <c r="N1029" t="inlineStr">
        <is>
          <t>REG101027</t>
        </is>
      </c>
      <c r="O1029" t="inlineStr">
        <is>
          <t>Cust 4097</t>
        </is>
      </c>
      <c r="P1029" t="n">
        <v>17.36</v>
      </c>
      <c r="Q1029" s="16" t="n">
        <v>45387</v>
      </c>
      <c r="R1029" s="16" t="n">
        <v>45391</v>
      </c>
      <c r="S1029" t="inlineStr">
        <is>
          <t>Eric</t>
        </is>
      </c>
      <c r="T1029" t="inlineStr">
        <is>
          <t>2024-04</t>
        </is>
      </c>
    </row>
    <row r="1030">
      <c r="A1030" s="16" t="n">
        <v>45505</v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D</t>
        </is>
      </c>
      <c r="G1030" t="inlineStr">
        <is>
          <t>Wholesale</t>
        </is>
      </c>
      <c r="H1030" t="n">
        <v>0.15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Cust 6145</t>
        </is>
      </c>
      <c r="P1030" t="n">
        <v>19.01</v>
      </c>
      <c r="Q1030" s="16" t="n">
        <v>45505</v>
      </c>
      <c r="R1030" s="16" t="n">
        <v>45514</v>
      </c>
      <c r="S1030" t="inlineStr">
        <is>
          <t>Sophie</t>
        </is>
      </c>
      <c r="T1030" t="inlineStr">
        <is>
          <t>2024-08</t>
        </is>
      </c>
    </row>
    <row r="1031">
      <c r="A1031" s="16" t="n">
        <v>45483</v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C</t>
        </is>
      </c>
      <c r="G1031" t="inlineStr">
        <is>
          <t>Wholesale</t>
        </is>
      </c>
      <c r="H1031" t="n">
        <v>0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n">
        <v/>
      </c>
      <c r="M1031" t="n">
        <v>0</v>
      </c>
      <c r="N1031" t="inlineStr">
        <is>
          <t>REG101029</t>
        </is>
      </c>
      <c r="O1031" t="inlineStr">
        <is>
          <t>Cust 8124</t>
        </is>
      </c>
      <c r="P1031" t="n">
        <v>41.66</v>
      </c>
      <c r="Q1031" s="16" t="n">
        <v>45483</v>
      </c>
      <c r="R1031" s="16" t="n">
        <v>45485</v>
      </c>
      <c r="S1031" t="inlineStr">
        <is>
          <t>Sophie</t>
        </is>
      </c>
      <c r="T1031" t="inlineStr">
        <is>
          <t>2024-07</t>
        </is>
      </c>
    </row>
    <row r="1032">
      <c r="A1032" s="16" t="n">
        <v>45458</v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B</t>
        </is>
      </c>
      <c r="G1032" t="inlineStr">
        <is>
          <t>Retail</t>
        </is>
      </c>
      <c r="H1032" t="n">
        <v>0.1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Cust 7826</t>
        </is>
      </c>
      <c r="P1032" t="n">
        <v>6.37</v>
      </c>
      <c r="Q1032" s="16" t="n">
        <v>45458</v>
      </c>
      <c r="R1032" s="16" t="n">
        <v>45463</v>
      </c>
      <c r="S1032" t="inlineStr">
        <is>
          <t>Eric</t>
        </is>
      </c>
      <c r="T1032" t="inlineStr">
        <is>
          <t>2024-06</t>
        </is>
      </c>
    </row>
    <row r="1033">
      <c r="A1033" s="16" t="n">
        <v>45434</v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C</t>
        </is>
      </c>
      <c r="G1033" t="inlineStr">
        <is>
          <t>Wholesale</t>
        </is>
      </c>
      <c r="H1033" t="n">
        <v>0.15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n">
        <v/>
      </c>
      <c r="M1033" t="n">
        <v>0</v>
      </c>
      <c r="N1033" t="inlineStr">
        <is>
          <t>REG101031</t>
        </is>
      </c>
      <c r="O1033" t="inlineStr">
        <is>
          <t>Cust 3472</t>
        </is>
      </c>
      <c r="P1033" t="n">
        <v>48.66</v>
      </c>
      <c r="Q1033" s="16" t="n">
        <v>45434</v>
      </c>
      <c r="R1033" s="16" t="n">
        <v>45441</v>
      </c>
      <c r="S1033" t="inlineStr">
        <is>
          <t>Eric</t>
        </is>
      </c>
      <c r="T1033" t="inlineStr">
        <is>
          <t>2024-05</t>
        </is>
      </c>
    </row>
    <row r="1034">
      <c r="A1034" s="16" t="n">
        <v>45305</v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0.05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Cust 4266</t>
        </is>
      </c>
      <c r="P1034" t="n">
        <v>38.98</v>
      </c>
      <c r="Q1034" s="16" t="n">
        <v>45305</v>
      </c>
      <c r="R1034" s="16" t="n">
        <v>45309</v>
      </c>
      <c r="S1034" t="inlineStr">
        <is>
          <t>Eric</t>
        </is>
      </c>
      <c r="T1034" t="inlineStr">
        <is>
          <t>2024-01</t>
        </is>
      </c>
    </row>
    <row r="1035">
      <c r="A1035" s="16" t="n">
        <v>45596</v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B</t>
        </is>
      </c>
      <c r="G1035" t="inlineStr">
        <is>
          <t>Retail</t>
        </is>
      </c>
      <c r="H1035" t="n">
        <v>0.05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Cust 8492</t>
        </is>
      </c>
      <c r="P1035" t="n">
        <v>39.64</v>
      </c>
      <c r="Q1035" s="16" t="n">
        <v>45596</v>
      </c>
      <c r="R1035" s="16" t="n">
        <v>45598</v>
      </c>
      <c r="S1035" t="inlineStr">
        <is>
          <t>Ryan</t>
        </is>
      </c>
      <c r="T1035" t="inlineStr">
        <is>
          <t>2024-10</t>
        </is>
      </c>
    </row>
    <row r="1036">
      <c r="A1036" s="16" t="n">
        <v>45405</v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D</t>
        </is>
      </c>
      <c r="G1036" t="inlineStr">
        <is>
          <t>Retail</t>
        </is>
      </c>
      <c r="H1036" t="n">
        <v>0.1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Cust 7354</t>
        </is>
      </c>
      <c r="P1036" t="n">
        <v>18.16</v>
      </c>
      <c r="Q1036" s="16" t="n">
        <v>45405</v>
      </c>
      <c r="R1036" s="16" t="n">
        <v>45411</v>
      </c>
      <c r="S1036" t="inlineStr">
        <is>
          <t>Wendy</t>
        </is>
      </c>
      <c r="T1036" t="inlineStr">
        <is>
          <t>2024-04</t>
        </is>
      </c>
    </row>
    <row r="1037">
      <c r="A1037" s="16" t="n">
        <v>45091</v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0.05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Cust 6672</t>
        </is>
      </c>
      <c r="P1037" t="n">
        <v>47.35</v>
      </c>
      <c r="Q1037" s="16" t="n">
        <v>45091</v>
      </c>
      <c r="R1037" s="16" t="n">
        <v>45097</v>
      </c>
      <c r="S1037" t="inlineStr">
        <is>
          <t>Sophie</t>
        </is>
      </c>
      <c r="T1037" t="inlineStr">
        <is>
          <t>2023-06</t>
        </is>
      </c>
    </row>
    <row r="1038">
      <c r="A1038" s="16" t="n">
        <v>45350</v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D</t>
        </is>
      </c>
      <c r="G1038" t="inlineStr">
        <is>
          <t>Wholesale</t>
        </is>
      </c>
      <c r="H1038" t="n">
        <v>0.05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Cust 5589</t>
        </is>
      </c>
      <c r="P1038" t="n">
        <v>5.95</v>
      </c>
      <c r="Q1038" s="16" t="n">
        <v>45350</v>
      </c>
      <c r="R1038" s="16" t="n">
        <v>45353</v>
      </c>
      <c r="S1038" t="inlineStr">
        <is>
          <t>Ryan</t>
        </is>
      </c>
      <c r="T1038" t="inlineStr">
        <is>
          <t>2024-02</t>
        </is>
      </c>
    </row>
    <row r="1039">
      <c r="A1039" s="16" t="n">
        <v>45462</v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0.05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n">
        <v/>
      </c>
      <c r="M1039" t="n">
        <v>0</v>
      </c>
      <c r="N1039" t="inlineStr">
        <is>
          <t>REG101037</t>
        </is>
      </c>
      <c r="O1039" t="inlineStr">
        <is>
          <t>Cust 2770</t>
        </is>
      </c>
      <c r="P1039" t="n">
        <v>35.6</v>
      </c>
      <c r="Q1039" s="16" t="n">
        <v>45462</v>
      </c>
      <c r="R1039" s="16" t="n">
        <v>45469</v>
      </c>
      <c r="S1039" t="inlineStr">
        <is>
          <t>Sophie</t>
        </is>
      </c>
      <c r="T1039" t="inlineStr">
        <is>
          <t>2024-06</t>
        </is>
      </c>
    </row>
    <row r="1040">
      <c r="A1040" s="16" t="n">
        <v>45003</v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0.05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Cust 7206</t>
        </is>
      </c>
      <c r="P1040" t="n">
        <v>30.22</v>
      </c>
      <c r="Q1040" s="16" t="n">
        <v>45003</v>
      </c>
      <c r="R1040" s="16" t="n">
        <v>45005</v>
      </c>
      <c r="S1040" t="inlineStr">
        <is>
          <t>Cameron</t>
        </is>
      </c>
      <c r="T1040" t="inlineStr">
        <is>
          <t>2023-03</t>
        </is>
      </c>
    </row>
    <row r="1041">
      <c r="A1041" s="16" t="n">
        <v>45006</v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D</t>
        </is>
      </c>
      <c r="G1041" t="inlineStr">
        <is>
          <t>Wholesale</t>
        </is>
      </c>
      <c r="H1041" t="n">
        <v>0.1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Cust 1580</t>
        </is>
      </c>
      <c r="P1041" t="n">
        <v>30.06</v>
      </c>
      <c r="Q1041" s="16" t="n">
        <v>45006</v>
      </c>
      <c r="R1041" s="16" t="n">
        <v>45016</v>
      </c>
      <c r="S1041" t="inlineStr">
        <is>
          <t>Wendy</t>
        </is>
      </c>
      <c r="T1041" t="inlineStr">
        <is>
          <t>2023-03</t>
        </is>
      </c>
    </row>
    <row r="1042">
      <c r="A1042" s="16" t="n">
        <v>45440</v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B</t>
        </is>
      </c>
      <c r="G1042" t="inlineStr">
        <is>
          <t>Wholesale</t>
        </is>
      </c>
      <c r="H1042" t="n">
        <v>0.1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Cust 5313</t>
        </is>
      </c>
      <c r="P1042" t="n">
        <v>37.42</v>
      </c>
      <c r="Q1042" s="16" t="n">
        <v>45440</v>
      </c>
      <c r="R1042" s="16" t="n">
        <v>45444</v>
      </c>
      <c r="S1042" t="inlineStr">
        <is>
          <t>Eric</t>
        </is>
      </c>
      <c r="T1042" t="inlineStr">
        <is>
          <t>2024-05</t>
        </is>
      </c>
    </row>
    <row r="1043">
      <c r="A1043" s="16" t="n">
        <v>45012</v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B</t>
        </is>
      </c>
      <c r="G1043" t="inlineStr">
        <is>
          <t>Wholesale</t>
        </is>
      </c>
      <c r="H1043" t="n">
        <v>0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Cust 4209</t>
        </is>
      </c>
      <c r="P1043" t="n">
        <v>7.79</v>
      </c>
      <c r="Q1043" s="16" t="n">
        <v>45012</v>
      </c>
      <c r="R1043" s="16" t="n">
        <v>45015</v>
      </c>
      <c r="S1043" t="inlineStr">
        <is>
          <t>Wendy</t>
        </is>
      </c>
      <c r="T1043" t="inlineStr">
        <is>
          <t>2023-03</t>
        </is>
      </c>
    </row>
    <row r="1044">
      <c r="A1044" s="16" t="n">
        <v>45096</v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A</t>
        </is>
      </c>
      <c r="G1044" t="inlineStr">
        <is>
          <t>Retail</t>
        </is>
      </c>
      <c r="H1044" t="n">
        <v>0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n">
        <v/>
      </c>
      <c r="M1044" t="n">
        <v>1</v>
      </c>
      <c r="N1044" t="inlineStr">
        <is>
          <t>REG101042</t>
        </is>
      </c>
      <c r="O1044" t="inlineStr">
        <is>
          <t>Cust 5861</t>
        </is>
      </c>
      <c r="P1044" t="n">
        <v>12.63</v>
      </c>
      <c r="Q1044" s="16" t="n">
        <v>45096</v>
      </c>
      <c r="R1044" s="16" t="n">
        <v>45102</v>
      </c>
      <c r="S1044" t="inlineStr">
        <is>
          <t>Cameron</t>
        </is>
      </c>
      <c r="T1044" t="inlineStr">
        <is>
          <t>2023-06</t>
        </is>
      </c>
    </row>
    <row r="1045">
      <c r="A1045" s="16" t="n">
        <v>45230</v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D</t>
        </is>
      </c>
      <c r="G1045" t="inlineStr">
        <is>
          <t>Wholesale</t>
        </is>
      </c>
      <c r="H1045" t="n">
        <v>0.05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Cust 6348</t>
        </is>
      </c>
      <c r="P1045" t="n">
        <v>46.45</v>
      </c>
      <c r="Q1045" s="16" t="n">
        <v>45230</v>
      </c>
      <c r="R1045" s="16" t="n">
        <v>45237</v>
      </c>
      <c r="S1045" t="inlineStr">
        <is>
          <t>Sophie</t>
        </is>
      </c>
      <c r="T1045" t="inlineStr">
        <is>
          <t>2023-10</t>
        </is>
      </c>
    </row>
    <row r="1046">
      <c r="A1046" s="16" t="n">
        <v>45118</v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D</t>
        </is>
      </c>
      <c r="G1046" t="inlineStr">
        <is>
          <t>Wholesale</t>
        </is>
      </c>
      <c r="H1046" t="n">
        <v>0.1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Cust 5210</t>
        </is>
      </c>
      <c r="P1046" t="n">
        <v>40.57</v>
      </c>
      <c r="Q1046" s="16" t="n">
        <v>45118</v>
      </c>
      <c r="R1046" s="16" t="n">
        <v>45125</v>
      </c>
      <c r="S1046" t="inlineStr">
        <is>
          <t>Wendy</t>
        </is>
      </c>
      <c r="T1046" t="inlineStr">
        <is>
          <t>2023-07</t>
        </is>
      </c>
    </row>
    <row r="1047">
      <c r="A1047" s="16" t="n">
        <v>45065</v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D</t>
        </is>
      </c>
      <c r="G1047" t="inlineStr">
        <is>
          <t>Wholesale</t>
        </is>
      </c>
      <c r="H1047" t="n">
        <v>0.05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Cust 7325</t>
        </is>
      </c>
      <c r="P1047" t="n">
        <v>44.7</v>
      </c>
      <c r="Q1047" s="16" t="n">
        <v>45065</v>
      </c>
      <c r="R1047" s="16" t="n">
        <v>45074</v>
      </c>
      <c r="S1047" t="inlineStr">
        <is>
          <t>Sophie</t>
        </is>
      </c>
      <c r="T1047" t="inlineStr">
        <is>
          <t>2023-05</t>
        </is>
      </c>
    </row>
    <row r="1048">
      <c r="A1048" s="16" t="n">
        <v>45143</v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D</t>
        </is>
      </c>
      <c r="G1048" t="inlineStr">
        <is>
          <t>Wholesale</t>
        </is>
      </c>
      <c r="H1048" t="n">
        <v>0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Cust 5818</t>
        </is>
      </c>
      <c r="P1048" t="n">
        <v>15.78</v>
      </c>
      <c r="Q1048" s="16" t="n">
        <v>45143</v>
      </c>
      <c r="R1048" s="16" t="n">
        <v>45148</v>
      </c>
      <c r="S1048" t="inlineStr">
        <is>
          <t>Ryan</t>
        </is>
      </c>
      <c r="T1048" t="inlineStr">
        <is>
          <t>2023-08</t>
        </is>
      </c>
    </row>
    <row r="1049">
      <c r="A1049" s="16" t="n">
        <v>45009</v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C</t>
        </is>
      </c>
      <c r="G1049" t="inlineStr">
        <is>
          <t>Wholesale</t>
        </is>
      </c>
      <c r="H1049" t="n">
        <v>0.1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Cust 7773</t>
        </is>
      </c>
      <c r="P1049" t="n">
        <v>48.83</v>
      </c>
      <c r="Q1049" s="16" t="n">
        <v>45009</v>
      </c>
      <c r="R1049" s="16" t="n">
        <v>45019</v>
      </c>
      <c r="S1049" t="inlineStr">
        <is>
          <t>Wendy</t>
        </is>
      </c>
      <c r="T1049" t="inlineStr">
        <is>
          <t>2023-03</t>
        </is>
      </c>
    </row>
    <row r="1050">
      <c r="A1050" s="16" t="n">
        <v>45702</v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C</t>
        </is>
      </c>
      <c r="G1050" t="inlineStr">
        <is>
          <t>Wholesale</t>
        </is>
      </c>
      <c r="H1050" t="n">
        <v>0.05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Cust 3960</t>
        </is>
      </c>
      <c r="P1050" t="n">
        <v>20.97</v>
      </c>
      <c r="Q1050" s="16" t="n">
        <v>45702</v>
      </c>
      <c r="R1050" s="16" t="n">
        <v>45705</v>
      </c>
      <c r="S1050" t="inlineStr">
        <is>
          <t>Wendy</t>
        </is>
      </c>
      <c r="T1050" t="inlineStr">
        <is>
          <t>2025-02</t>
        </is>
      </c>
    </row>
    <row r="1051">
      <c r="A1051" s="16" t="n">
        <v>45640</v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D</t>
        </is>
      </c>
      <c r="G1051" t="inlineStr">
        <is>
          <t>Retail</t>
        </is>
      </c>
      <c r="H1051" t="n">
        <v>0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Cust 4496</t>
        </is>
      </c>
      <c r="P1051" t="n">
        <v>43.74</v>
      </c>
      <c r="Q1051" s="16" t="n">
        <v>45640</v>
      </c>
      <c r="R1051" s="16" t="n">
        <v>45642</v>
      </c>
      <c r="S1051" t="inlineStr">
        <is>
          <t>Ryan</t>
        </is>
      </c>
      <c r="T1051" t="inlineStr">
        <is>
          <t>2024-12</t>
        </is>
      </c>
    </row>
    <row r="1052">
      <c r="A1052" s="16" t="n">
        <v>45105</v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A</t>
        </is>
      </c>
      <c r="G1052" t="inlineStr">
        <is>
          <t>Wholesale</t>
        </is>
      </c>
      <c r="H1052" t="n">
        <v>0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Cust 3875</t>
        </is>
      </c>
      <c r="P1052" t="n">
        <v>43.24</v>
      </c>
      <c r="Q1052" s="16" t="n">
        <v>45105</v>
      </c>
      <c r="R1052" s="16" t="n">
        <v>45108</v>
      </c>
      <c r="S1052" t="inlineStr">
        <is>
          <t>Sophie</t>
        </is>
      </c>
      <c r="T1052" t="inlineStr">
        <is>
          <t>2023-06</t>
        </is>
      </c>
    </row>
    <row r="1053">
      <c r="A1053" s="16" t="n">
        <v>44950</v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C</t>
        </is>
      </c>
      <c r="G1053" t="inlineStr">
        <is>
          <t>Retail</t>
        </is>
      </c>
      <c r="H1053" t="n">
        <v>0.1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Cust 7232</t>
        </is>
      </c>
      <c r="P1053" t="n">
        <v>47.77</v>
      </c>
      <c r="Q1053" s="16" t="n">
        <v>44950</v>
      </c>
      <c r="R1053" s="16" t="n">
        <v>44954</v>
      </c>
      <c r="S1053" t="inlineStr">
        <is>
          <t>Wendy</t>
        </is>
      </c>
      <c r="T1053" t="inlineStr">
        <is>
          <t>2023-01</t>
        </is>
      </c>
    </row>
    <row r="1054">
      <c r="A1054" s="16" t="n">
        <v>45464</v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0.05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n">
        <v/>
      </c>
      <c r="M1054" t="n">
        <v>0</v>
      </c>
      <c r="N1054" t="inlineStr">
        <is>
          <t>REG101052</t>
        </is>
      </c>
      <c r="O1054" t="inlineStr">
        <is>
          <t>Cust 2137</t>
        </is>
      </c>
      <c r="P1054" t="n">
        <v>44.76</v>
      </c>
      <c r="Q1054" s="16" t="n">
        <v>45464</v>
      </c>
      <c r="R1054" s="16" t="n">
        <v>45473</v>
      </c>
      <c r="S1054" t="inlineStr">
        <is>
          <t>Cameron</t>
        </is>
      </c>
      <c r="T1054" t="inlineStr">
        <is>
          <t>2024-06</t>
        </is>
      </c>
    </row>
    <row r="1055">
      <c r="A1055" s="16" t="n">
        <v>45756</v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C</t>
        </is>
      </c>
      <c r="G1055" t="inlineStr">
        <is>
          <t>Retail</t>
        </is>
      </c>
      <c r="H1055" t="n">
        <v>0.1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Cust 4537</t>
        </is>
      </c>
      <c r="P1055" t="n">
        <v>37.07</v>
      </c>
      <c r="Q1055" s="16" t="n">
        <v>45756</v>
      </c>
      <c r="R1055" s="16" t="n">
        <v>45765</v>
      </c>
      <c r="S1055" t="inlineStr">
        <is>
          <t>Ryan</t>
        </is>
      </c>
      <c r="T1055" t="inlineStr">
        <is>
          <t>2025-04</t>
        </is>
      </c>
    </row>
    <row r="1056">
      <c r="A1056" s="16" t="n">
        <v>45668</v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0.1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Cust 6274</t>
        </is>
      </c>
      <c r="P1056" t="n">
        <v>34.97</v>
      </c>
      <c r="Q1056" s="16" t="n">
        <v>45668</v>
      </c>
      <c r="R1056" s="16" t="n">
        <v>45676</v>
      </c>
      <c r="S1056" t="inlineStr">
        <is>
          <t>Ryan</t>
        </is>
      </c>
      <c r="T1056" t="inlineStr">
        <is>
          <t>2025-01</t>
        </is>
      </c>
    </row>
    <row r="1057">
      <c r="A1057" s="16" t="n">
        <v>45486</v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D</t>
        </is>
      </c>
      <c r="G1057" t="inlineStr">
        <is>
          <t>Wholesale</t>
        </is>
      </c>
      <c r="H1057" t="n">
        <v>0.05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n">
        <v/>
      </c>
      <c r="M1057" t="n">
        <v>0</v>
      </c>
      <c r="N1057" t="inlineStr">
        <is>
          <t>REG101055</t>
        </is>
      </c>
      <c r="O1057" t="inlineStr">
        <is>
          <t>Cust 3810</t>
        </is>
      </c>
      <c r="P1057" t="n">
        <v>32.86</v>
      </c>
      <c r="Q1057" s="16" t="n">
        <v>45486</v>
      </c>
      <c r="R1057" s="16" t="n">
        <v>45493</v>
      </c>
      <c r="S1057" t="inlineStr">
        <is>
          <t>Cameron</t>
        </is>
      </c>
      <c r="T1057" t="inlineStr">
        <is>
          <t>2024-07</t>
        </is>
      </c>
    </row>
    <row r="1058">
      <c r="A1058" s="16" t="n">
        <v>45661</v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A</t>
        </is>
      </c>
      <c r="G1058" t="inlineStr">
        <is>
          <t>Retail</t>
        </is>
      </c>
      <c r="H1058" t="n">
        <v>0.05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Cust 5002</t>
        </is>
      </c>
      <c r="P1058" t="n">
        <v>19.77</v>
      </c>
      <c r="Q1058" s="16" t="n">
        <v>45661</v>
      </c>
      <c r="R1058" s="16" t="n">
        <v>45667</v>
      </c>
      <c r="S1058" t="inlineStr">
        <is>
          <t>Wendy</t>
        </is>
      </c>
      <c r="T1058" t="inlineStr">
        <is>
          <t>2025-01</t>
        </is>
      </c>
    </row>
    <row r="1059">
      <c r="A1059" s="16" t="n">
        <v>45224</v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D</t>
        </is>
      </c>
      <c r="G1059" t="inlineStr">
        <is>
          <t>Wholesale</t>
        </is>
      </c>
      <c r="H1059" t="n">
        <v>0.15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Cust 8551</t>
        </is>
      </c>
      <c r="P1059" t="n">
        <v>45.75</v>
      </c>
      <c r="Q1059" s="16" t="n">
        <v>45224</v>
      </c>
      <c r="R1059" s="16" t="n">
        <v>45230</v>
      </c>
      <c r="S1059" t="inlineStr">
        <is>
          <t>Wendy</t>
        </is>
      </c>
      <c r="T1059" t="inlineStr">
        <is>
          <t>2023-10</t>
        </is>
      </c>
    </row>
    <row r="1060">
      <c r="A1060" s="16" t="n">
        <v>45199</v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0.15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n">
        <v/>
      </c>
      <c r="M1060" t="n">
        <v>0</v>
      </c>
      <c r="N1060" t="inlineStr">
        <is>
          <t>REG101058</t>
        </is>
      </c>
      <c r="O1060" t="inlineStr">
        <is>
          <t>Cust 8837</t>
        </is>
      </c>
      <c r="P1060" t="n">
        <v>44.49</v>
      </c>
      <c r="Q1060" s="16" t="n">
        <v>45199</v>
      </c>
      <c r="R1060" s="16" t="n">
        <v>45201</v>
      </c>
      <c r="S1060" t="inlineStr">
        <is>
          <t>Sophie</t>
        </is>
      </c>
      <c r="T1060" t="inlineStr">
        <is>
          <t>2023-09</t>
        </is>
      </c>
    </row>
    <row r="1061">
      <c r="A1061" s="16" t="n">
        <v>45001</v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0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Cust 6523</t>
        </is>
      </c>
      <c r="P1061" t="n">
        <v>37.49</v>
      </c>
      <c r="Q1061" s="16" t="n">
        <v>45001</v>
      </c>
      <c r="R1061" s="16" t="n">
        <v>45011</v>
      </c>
      <c r="S1061" t="inlineStr">
        <is>
          <t>Ryan</t>
        </is>
      </c>
      <c r="T1061" t="inlineStr">
        <is>
          <t>2023-03</t>
        </is>
      </c>
    </row>
    <row r="1062">
      <c r="A1062" s="16" t="n">
        <v>45133</v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A</t>
        </is>
      </c>
      <c r="G1062" t="inlineStr">
        <is>
          <t>Wholesale</t>
        </is>
      </c>
      <c r="H1062" t="n">
        <v>0.1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Cust 1947</t>
        </is>
      </c>
      <c r="P1062" t="n">
        <v>28.8</v>
      </c>
      <c r="Q1062" s="16" t="n">
        <v>45133</v>
      </c>
      <c r="R1062" s="16" t="n">
        <v>45140</v>
      </c>
      <c r="S1062" t="inlineStr">
        <is>
          <t>Ryan</t>
        </is>
      </c>
      <c r="T1062" t="inlineStr">
        <is>
          <t>2023-07</t>
        </is>
      </c>
    </row>
    <row r="1063">
      <c r="A1063" s="16" t="n">
        <v>45117</v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A</t>
        </is>
      </c>
      <c r="G1063" t="inlineStr">
        <is>
          <t>Retail</t>
        </is>
      </c>
      <c r="H1063" t="n">
        <v>0.05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n">
        <v/>
      </c>
      <c r="M1063" t="n">
        <v>0</v>
      </c>
      <c r="N1063" t="inlineStr">
        <is>
          <t>REG101061</t>
        </is>
      </c>
      <c r="O1063" t="inlineStr">
        <is>
          <t>Cust 3440</t>
        </is>
      </c>
      <c r="P1063" t="n">
        <v>19.49</v>
      </c>
      <c r="Q1063" s="16" t="n">
        <v>45117</v>
      </c>
      <c r="R1063" s="16" t="n">
        <v>45126</v>
      </c>
      <c r="S1063" t="inlineStr">
        <is>
          <t>Eric</t>
        </is>
      </c>
      <c r="T1063" t="inlineStr">
        <is>
          <t>2023-07</t>
        </is>
      </c>
    </row>
    <row r="1064">
      <c r="A1064" s="16" t="n">
        <v>45510</v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C</t>
        </is>
      </c>
      <c r="G1064" t="inlineStr">
        <is>
          <t>Wholesale</t>
        </is>
      </c>
      <c r="H1064" t="n">
        <v>0.05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Cust 4102</t>
        </is>
      </c>
      <c r="P1064" t="n">
        <v>9.35</v>
      </c>
      <c r="Q1064" s="16" t="n">
        <v>45510</v>
      </c>
      <c r="R1064" s="16" t="n">
        <v>45520</v>
      </c>
      <c r="S1064" t="inlineStr">
        <is>
          <t>Eric</t>
        </is>
      </c>
      <c r="T1064" t="inlineStr">
        <is>
          <t>2024-08</t>
        </is>
      </c>
    </row>
    <row r="1065">
      <c r="A1065" s="16" t="n">
        <v>45489</v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0.1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n">
        <v/>
      </c>
      <c r="M1065" t="n">
        <v>0</v>
      </c>
      <c r="N1065" t="inlineStr">
        <is>
          <t>REG101063</t>
        </is>
      </c>
      <c r="O1065" t="inlineStr">
        <is>
          <t>Cust 4145</t>
        </is>
      </c>
      <c r="P1065" t="n">
        <v>38.6</v>
      </c>
      <c r="Q1065" s="16" t="n">
        <v>45489</v>
      </c>
      <c r="R1065" s="16" t="n">
        <v>45492</v>
      </c>
      <c r="S1065" t="inlineStr">
        <is>
          <t>Cameron</t>
        </is>
      </c>
      <c r="T1065" t="inlineStr">
        <is>
          <t>2024-07</t>
        </is>
      </c>
    </row>
    <row r="1066">
      <c r="A1066" s="16" t="n">
        <v>45322</v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0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n">
        <v/>
      </c>
      <c r="M1066" t="n">
        <v>1</v>
      </c>
      <c r="N1066" t="inlineStr">
        <is>
          <t>REG101064</t>
        </is>
      </c>
      <c r="O1066" t="inlineStr">
        <is>
          <t>Cust 5206</t>
        </is>
      </c>
      <c r="P1066" t="n">
        <v>42.38</v>
      </c>
      <c r="Q1066" s="16" t="n">
        <v>45322</v>
      </c>
      <c r="R1066" s="16" t="n">
        <v>45331</v>
      </c>
      <c r="S1066" t="inlineStr">
        <is>
          <t>Ryan</t>
        </is>
      </c>
      <c r="T1066" t="inlineStr">
        <is>
          <t>2024-01</t>
        </is>
      </c>
    </row>
    <row r="1067">
      <c r="A1067" s="16" t="n">
        <v>45038</v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A</t>
        </is>
      </c>
      <c r="G1067" t="inlineStr">
        <is>
          <t>Retail</t>
        </is>
      </c>
      <c r="H1067" t="n">
        <v>0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Cust 4022</t>
        </is>
      </c>
      <c r="P1067" t="n">
        <v>32.83</v>
      </c>
      <c r="Q1067" s="16" t="n">
        <v>45038</v>
      </c>
      <c r="R1067" s="16" t="n">
        <v>45040</v>
      </c>
      <c r="S1067" t="inlineStr">
        <is>
          <t>Cameron</t>
        </is>
      </c>
      <c r="T1067" t="inlineStr">
        <is>
          <t>2023-04</t>
        </is>
      </c>
    </row>
    <row r="1068">
      <c r="A1068" s="16" t="n">
        <v>45692</v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0.15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Cust 8676</t>
        </is>
      </c>
      <c r="P1068" t="n">
        <v>5.21</v>
      </c>
      <c r="Q1068" s="16" t="n">
        <v>45692</v>
      </c>
      <c r="R1068" s="16" t="n">
        <v>45695</v>
      </c>
      <c r="S1068" t="inlineStr">
        <is>
          <t>Eric</t>
        </is>
      </c>
      <c r="T1068" t="inlineStr">
        <is>
          <t>2025-02</t>
        </is>
      </c>
    </row>
    <row r="1069">
      <c r="A1069" s="16" t="n">
        <v>45529</v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0.15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Cust 7492</t>
        </is>
      </c>
      <c r="P1069" t="n">
        <v>8.6</v>
      </c>
      <c r="Q1069" s="16" t="n">
        <v>45529</v>
      </c>
      <c r="R1069" s="16" t="n">
        <v>45538</v>
      </c>
      <c r="S1069" t="inlineStr">
        <is>
          <t>Cameron</t>
        </is>
      </c>
      <c r="T1069" t="inlineStr">
        <is>
          <t>2024-08</t>
        </is>
      </c>
    </row>
    <row r="1070">
      <c r="A1070" s="16" t="n">
        <v>45168</v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0.05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Cust 3150</t>
        </is>
      </c>
      <c r="P1070" t="n">
        <v>23.99</v>
      </c>
      <c r="Q1070" s="16" t="n">
        <v>45168</v>
      </c>
      <c r="R1070" s="16" t="n">
        <v>45174</v>
      </c>
      <c r="S1070" t="inlineStr">
        <is>
          <t>Eric</t>
        </is>
      </c>
      <c r="T1070" t="inlineStr">
        <is>
          <t>2023-08</t>
        </is>
      </c>
    </row>
    <row r="1071">
      <c r="A1071" s="16" t="n">
        <v>45175</v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0.05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n">
        <v/>
      </c>
      <c r="M1071" t="n">
        <v>1</v>
      </c>
      <c r="N1071" t="inlineStr">
        <is>
          <t>REG101069</t>
        </is>
      </c>
      <c r="O1071" t="inlineStr">
        <is>
          <t>Cust 7872</t>
        </is>
      </c>
      <c r="P1071" t="n">
        <v>20.06</v>
      </c>
      <c r="Q1071" s="16" t="n">
        <v>45175</v>
      </c>
      <c r="R1071" s="16" t="n">
        <v>45181</v>
      </c>
      <c r="S1071" t="inlineStr">
        <is>
          <t>Wendy</t>
        </is>
      </c>
      <c r="T1071" t="inlineStr">
        <is>
          <t>2023-09</t>
        </is>
      </c>
    </row>
    <row r="1072">
      <c r="A1072" s="16" t="n">
        <v>45790</v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0.05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Cust 8762</t>
        </is>
      </c>
      <c r="P1072" t="n">
        <v>44.86</v>
      </c>
      <c r="Q1072" s="16" t="n">
        <v>45790</v>
      </c>
      <c r="R1072" s="16" t="n">
        <v>45798</v>
      </c>
      <c r="S1072" t="inlineStr">
        <is>
          <t>Sophie</t>
        </is>
      </c>
      <c r="T1072" t="inlineStr">
        <is>
          <t>2025-05</t>
        </is>
      </c>
    </row>
    <row r="1073">
      <c r="A1073" s="16" t="n">
        <v>45228</v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D</t>
        </is>
      </c>
      <c r="G1073" t="inlineStr">
        <is>
          <t>Retail</t>
        </is>
      </c>
      <c r="H1073" t="n">
        <v>0.1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Cust 4004</t>
        </is>
      </c>
      <c r="P1073" t="n">
        <v>42.59</v>
      </c>
      <c r="Q1073" s="16" t="n">
        <v>45228</v>
      </c>
      <c r="R1073" s="16" t="n">
        <v>45236</v>
      </c>
      <c r="S1073" t="inlineStr">
        <is>
          <t>Ryan</t>
        </is>
      </c>
      <c r="T1073" t="inlineStr">
        <is>
          <t>2023-10</t>
        </is>
      </c>
    </row>
    <row r="1074">
      <c r="A1074" s="16" t="n">
        <v>45455</v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C</t>
        </is>
      </c>
      <c r="G1074" t="inlineStr">
        <is>
          <t>Wholesale</t>
        </is>
      </c>
      <c r="H1074" t="n">
        <v>0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Cust 2781</t>
        </is>
      </c>
      <c r="P1074" t="n">
        <v>30.45</v>
      </c>
      <c r="Q1074" s="16" t="n">
        <v>45455</v>
      </c>
      <c r="R1074" s="16" t="n">
        <v>45461</v>
      </c>
      <c r="S1074" t="inlineStr">
        <is>
          <t>Eric</t>
        </is>
      </c>
      <c r="T1074" t="inlineStr">
        <is>
          <t>2024-06</t>
        </is>
      </c>
    </row>
    <row r="1075">
      <c r="A1075" s="16" t="n">
        <v>44959</v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A</t>
        </is>
      </c>
      <c r="G1075" t="inlineStr">
        <is>
          <t>Wholesale</t>
        </is>
      </c>
      <c r="H1075" t="n">
        <v>0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Cust 9982</t>
        </is>
      </c>
      <c r="P1075" t="n">
        <v>48.07</v>
      </c>
      <c r="Q1075" s="16" t="n">
        <v>44959</v>
      </c>
      <c r="R1075" s="16" t="n">
        <v>44962</v>
      </c>
      <c r="S1075" t="inlineStr">
        <is>
          <t>Sophie</t>
        </is>
      </c>
      <c r="T1075" t="inlineStr">
        <is>
          <t>2023-02</t>
        </is>
      </c>
    </row>
    <row r="1076">
      <c r="A1076" s="16" t="n">
        <v>45050</v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B</t>
        </is>
      </c>
      <c r="G1076" t="inlineStr">
        <is>
          <t>Wholesale</t>
        </is>
      </c>
      <c r="H1076" t="n">
        <v>0.15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n">
        <v/>
      </c>
      <c r="M1076" t="n">
        <v>0</v>
      </c>
      <c r="N1076" t="inlineStr">
        <is>
          <t>REG101074</t>
        </is>
      </c>
      <c r="O1076" t="inlineStr">
        <is>
          <t>Cust 9561</t>
        </is>
      </c>
      <c r="P1076" t="n">
        <v>43.22</v>
      </c>
      <c r="Q1076" s="16" t="n">
        <v>45050</v>
      </c>
      <c r="R1076" s="16" t="n">
        <v>45058</v>
      </c>
      <c r="S1076" t="inlineStr">
        <is>
          <t>Eric</t>
        </is>
      </c>
      <c r="T1076" t="inlineStr">
        <is>
          <t>2023-05</t>
        </is>
      </c>
    </row>
    <row r="1077">
      <c r="A1077" s="16" t="n">
        <v>45070</v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D</t>
        </is>
      </c>
      <c r="G1077" t="inlineStr">
        <is>
          <t>Wholesale</t>
        </is>
      </c>
      <c r="H1077" t="n">
        <v>0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Cust 3496</t>
        </is>
      </c>
      <c r="P1077" t="n">
        <v>33.6</v>
      </c>
      <c r="Q1077" s="16" t="n">
        <v>45070</v>
      </c>
      <c r="R1077" s="16" t="n">
        <v>45077</v>
      </c>
      <c r="S1077" t="inlineStr">
        <is>
          <t>Wendy</t>
        </is>
      </c>
      <c r="T1077" t="inlineStr">
        <is>
          <t>2023-05</t>
        </is>
      </c>
    </row>
    <row r="1078">
      <c r="A1078" s="16" t="n">
        <v>44960</v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0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n">
        <v/>
      </c>
      <c r="M1078" t="n">
        <v>0</v>
      </c>
      <c r="N1078" t="inlineStr">
        <is>
          <t>REG101076</t>
        </is>
      </c>
      <c r="O1078" t="inlineStr">
        <is>
          <t>Cust 4085</t>
        </is>
      </c>
      <c r="P1078" t="n">
        <v>26.97</v>
      </c>
      <c r="Q1078" s="16" t="n">
        <v>44960</v>
      </c>
      <c r="R1078" s="16" t="n">
        <v>44970</v>
      </c>
      <c r="S1078" t="inlineStr">
        <is>
          <t>Wendy</t>
        </is>
      </c>
      <c r="T1078" t="inlineStr">
        <is>
          <t>2023-02</t>
        </is>
      </c>
    </row>
    <row r="1079">
      <c r="A1079" s="16" t="n">
        <v>45285</v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D</t>
        </is>
      </c>
      <c r="G1079" t="inlineStr">
        <is>
          <t>Retail</t>
        </is>
      </c>
      <c r="H1079" t="n">
        <v>0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n">
        <v/>
      </c>
      <c r="M1079" t="n">
        <v>0</v>
      </c>
      <c r="N1079" t="inlineStr">
        <is>
          <t>REG101077</t>
        </is>
      </c>
      <c r="O1079" t="inlineStr">
        <is>
          <t>Cust 1921</t>
        </is>
      </c>
      <c r="P1079" t="n">
        <v>43.02</v>
      </c>
      <c r="Q1079" s="16" t="n">
        <v>45285</v>
      </c>
      <c r="R1079" s="16" t="n">
        <v>45293</v>
      </c>
      <c r="S1079" t="inlineStr">
        <is>
          <t>Eric</t>
        </is>
      </c>
      <c r="T1079" t="inlineStr">
        <is>
          <t>2023-12</t>
        </is>
      </c>
    </row>
    <row r="1080">
      <c r="A1080" s="16" t="n">
        <v>45133</v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0.1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Cust 9053</t>
        </is>
      </c>
      <c r="P1080" t="n">
        <v>31.13</v>
      </c>
      <c r="Q1080" s="16" t="n">
        <v>45133</v>
      </c>
      <c r="R1080" s="16" t="n">
        <v>45139</v>
      </c>
      <c r="S1080" t="inlineStr">
        <is>
          <t>Eric</t>
        </is>
      </c>
      <c r="T1080" t="inlineStr">
        <is>
          <t>2023-07</t>
        </is>
      </c>
    </row>
    <row r="1081">
      <c r="A1081" s="16" t="n">
        <v>45449</v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D</t>
        </is>
      </c>
      <c r="G1081" t="inlineStr">
        <is>
          <t>Retail</t>
        </is>
      </c>
      <c r="H1081" t="n">
        <v>0.15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Cust 9345</t>
        </is>
      </c>
      <c r="P1081" t="n">
        <v>29.31</v>
      </c>
      <c r="Q1081" s="16" t="n">
        <v>45449</v>
      </c>
      <c r="R1081" s="16" t="n">
        <v>45458</v>
      </c>
      <c r="S1081" t="inlineStr">
        <is>
          <t>Cameron</t>
        </is>
      </c>
      <c r="T1081" t="inlineStr">
        <is>
          <t>2024-06</t>
        </is>
      </c>
    </row>
    <row r="1082">
      <c r="A1082" s="16" t="n">
        <v>45578</v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B</t>
        </is>
      </c>
      <c r="G1082" t="inlineStr">
        <is>
          <t>Wholesale</t>
        </is>
      </c>
      <c r="H1082" t="n">
        <v>0.05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n">
        <v/>
      </c>
      <c r="M1082" t="n">
        <v>0</v>
      </c>
      <c r="N1082" t="inlineStr">
        <is>
          <t>REG101080</t>
        </is>
      </c>
      <c r="O1082" t="inlineStr">
        <is>
          <t>Cust 3559</t>
        </is>
      </c>
      <c r="P1082" t="n">
        <v>11.21</v>
      </c>
      <c r="Q1082" s="16" t="n">
        <v>45578</v>
      </c>
      <c r="R1082" s="16" t="n">
        <v>45583</v>
      </c>
      <c r="S1082" t="inlineStr">
        <is>
          <t>Sophie</t>
        </is>
      </c>
      <c r="T1082" t="inlineStr">
        <is>
          <t>2024-10</t>
        </is>
      </c>
    </row>
    <row r="1083">
      <c r="A1083" s="16" t="n">
        <v>45599</v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C</t>
        </is>
      </c>
      <c r="G1083" t="inlineStr">
        <is>
          <t>Wholesale</t>
        </is>
      </c>
      <c r="H1083" t="n">
        <v>0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Cust 1762</t>
        </is>
      </c>
      <c r="P1083" t="n">
        <v>21.89</v>
      </c>
      <c r="Q1083" s="16" t="n">
        <v>45599</v>
      </c>
      <c r="R1083" s="16" t="n">
        <v>45609</v>
      </c>
      <c r="S1083" t="inlineStr">
        <is>
          <t>Ryan</t>
        </is>
      </c>
      <c r="T1083" t="inlineStr">
        <is>
          <t>2024-11</t>
        </is>
      </c>
    </row>
    <row r="1084">
      <c r="A1084" s="16" t="n">
        <v>45325</v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C</t>
        </is>
      </c>
      <c r="G1084" t="inlineStr">
        <is>
          <t>Wholesale</t>
        </is>
      </c>
      <c r="H1084" t="n">
        <v>0.1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n">
        <v/>
      </c>
      <c r="M1084" t="n">
        <v>0</v>
      </c>
      <c r="N1084" t="inlineStr">
        <is>
          <t>REG101082</t>
        </is>
      </c>
      <c r="O1084" t="inlineStr">
        <is>
          <t>Cust 7060</t>
        </is>
      </c>
      <c r="P1084" t="n">
        <v>32.53</v>
      </c>
      <c r="Q1084" s="16" t="n">
        <v>45325</v>
      </c>
      <c r="R1084" s="16" t="n">
        <v>45333</v>
      </c>
      <c r="S1084" t="inlineStr">
        <is>
          <t>Ryan</t>
        </is>
      </c>
      <c r="T1084" t="inlineStr">
        <is>
          <t>2024-02</t>
        </is>
      </c>
    </row>
    <row r="1085">
      <c r="A1085" s="16" t="n">
        <v>44936</v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D</t>
        </is>
      </c>
      <c r="G1085" t="inlineStr">
        <is>
          <t>Wholesale</t>
        </is>
      </c>
      <c r="H1085" t="n">
        <v>0.15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Cust 8796</t>
        </is>
      </c>
      <c r="P1085" t="n">
        <v>16.98</v>
      </c>
      <c r="Q1085" s="16" t="n">
        <v>44936</v>
      </c>
      <c r="R1085" s="16" t="n">
        <v>44939</v>
      </c>
      <c r="S1085" t="inlineStr">
        <is>
          <t>Eric</t>
        </is>
      </c>
      <c r="T1085" t="inlineStr">
        <is>
          <t>2023-01</t>
        </is>
      </c>
    </row>
    <row r="1086">
      <c r="A1086" s="16" t="n">
        <v>45215</v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D</t>
        </is>
      </c>
      <c r="G1086" t="inlineStr">
        <is>
          <t>Wholesale</t>
        </is>
      </c>
      <c r="H1086" t="n">
        <v>0.05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Cust 6055</t>
        </is>
      </c>
      <c r="P1086" t="n">
        <v>30.62</v>
      </c>
      <c r="Q1086" s="16" t="n">
        <v>45215</v>
      </c>
      <c r="R1086" s="16" t="n">
        <v>45221</v>
      </c>
      <c r="S1086" t="inlineStr">
        <is>
          <t>Eric</t>
        </is>
      </c>
      <c r="T1086" t="inlineStr">
        <is>
          <t>2023-10</t>
        </is>
      </c>
    </row>
    <row r="1087">
      <c r="A1087" s="16" t="n">
        <v>45735</v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0.1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Cust 5779</t>
        </is>
      </c>
      <c r="P1087" t="n">
        <v>14.02</v>
      </c>
      <c r="Q1087" s="16" t="n">
        <v>45735</v>
      </c>
      <c r="R1087" s="16" t="n">
        <v>45740</v>
      </c>
      <c r="S1087" t="inlineStr">
        <is>
          <t>Cameron</t>
        </is>
      </c>
      <c r="T1087" t="inlineStr">
        <is>
          <t>2025-03</t>
        </is>
      </c>
    </row>
    <row r="1088">
      <c r="A1088" s="16" t="n">
        <v>45642</v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C</t>
        </is>
      </c>
      <c r="G1088" t="inlineStr">
        <is>
          <t>Wholesale</t>
        </is>
      </c>
      <c r="H1088" t="n">
        <v>0.1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Cust 9330</t>
        </is>
      </c>
      <c r="P1088" t="n">
        <v>5.84</v>
      </c>
      <c r="Q1088" s="16" t="n">
        <v>45642</v>
      </c>
      <c r="R1088" s="16" t="n">
        <v>45645</v>
      </c>
      <c r="S1088" t="inlineStr">
        <is>
          <t>Wendy</t>
        </is>
      </c>
      <c r="T1088" t="inlineStr">
        <is>
          <t>2024-12</t>
        </is>
      </c>
    </row>
    <row r="1089">
      <c r="A1089" s="16" t="n">
        <v>45154</v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B</t>
        </is>
      </c>
      <c r="G1089" t="inlineStr">
        <is>
          <t>Wholesale</t>
        </is>
      </c>
      <c r="H1089" t="n">
        <v>0.05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Cust 5374</t>
        </is>
      </c>
      <c r="P1089" t="n">
        <v>17.39</v>
      </c>
      <c r="Q1089" s="16" t="n">
        <v>45154</v>
      </c>
      <c r="R1089" s="16" t="n">
        <v>45158</v>
      </c>
      <c r="S1089" t="inlineStr">
        <is>
          <t>Wendy</t>
        </is>
      </c>
      <c r="T1089" t="inlineStr">
        <is>
          <t>2023-08</t>
        </is>
      </c>
    </row>
    <row r="1090">
      <c r="A1090" s="16" t="n">
        <v>44936</v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B</t>
        </is>
      </c>
      <c r="G1090" t="inlineStr">
        <is>
          <t>Wholesale</t>
        </is>
      </c>
      <c r="H1090" t="n">
        <v>0.05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Cust 3321</t>
        </is>
      </c>
      <c r="P1090" t="n">
        <v>31.81</v>
      </c>
      <c r="Q1090" s="16" t="n">
        <v>44936</v>
      </c>
      <c r="R1090" s="16" t="n">
        <v>44946</v>
      </c>
      <c r="S1090" t="inlineStr">
        <is>
          <t>Eric</t>
        </is>
      </c>
      <c r="T1090" t="inlineStr">
        <is>
          <t>2023-01</t>
        </is>
      </c>
    </row>
    <row r="1091">
      <c r="A1091" s="16" t="n">
        <v>45786</v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0.1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Cust 6554</t>
        </is>
      </c>
      <c r="P1091" t="n">
        <v>20.02</v>
      </c>
      <c r="Q1091" s="16" t="n">
        <v>45786</v>
      </c>
      <c r="R1091" s="16" t="n">
        <v>45795</v>
      </c>
      <c r="S1091" t="inlineStr">
        <is>
          <t>Cameron</t>
        </is>
      </c>
      <c r="T1091" t="inlineStr">
        <is>
          <t>2025-05</t>
        </is>
      </c>
    </row>
    <row r="1092">
      <c r="A1092" s="16" t="n">
        <v>45390</v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A</t>
        </is>
      </c>
      <c r="G1092" t="inlineStr">
        <is>
          <t>Wholesale</t>
        </is>
      </c>
      <c r="H1092" t="n">
        <v>0.15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Cust 6855</t>
        </is>
      </c>
      <c r="P1092" t="n">
        <v>15.33</v>
      </c>
      <c r="Q1092" s="16" t="n">
        <v>45390</v>
      </c>
      <c r="R1092" s="16" t="n">
        <v>45398</v>
      </c>
      <c r="S1092" t="inlineStr">
        <is>
          <t>Eric</t>
        </is>
      </c>
      <c r="T1092" t="inlineStr">
        <is>
          <t>2024-04</t>
        </is>
      </c>
    </row>
    <row r="1093">
      <c r="A1093" s="16" t="n">
        <v>45783</v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A</t>
        </is>
      </c>
      <c r="G1093" t="inlineStr">
        <is>
          <t>Retail</t>
        </is>
      </c>
      <c r="H1093" t="n">
        <v>0.1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n">
        <v/>
      </c>
      <c r="M1093" t="n">
        <v>0</v>
      </c>
      <c r="N1093" t="inlineStr">
        <is>
          <t>REG101091</t>
        </is>
      </c>
      <c r="O1093" t="inlineStr">
        <is>
          <t>Cust 9955</t>
        </is>
      </c>
      <c r="P1093" t="n">
        <v>10.2</v>
      </c>
      <c r="Q1093" s="16" t="n">
        <v>45783</v>
      </c>
      <c r="R1093" s="16" t="n">
        <v>45792</v>
      </c>
      <c r="S1093" t="inlineStr">
        <is>
          <t>Eric</t>
        </is>
      </c>
      <c r="T1093" t="inlineStr">
        <is>
          <t>2025-05</t>
        </is>
      </c>
    </row>
    <row r="1094">
      <c r="A1094" s="16" t="n">
        <v>45067</v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A</t>
        </is>
      </c>
      <c r="G1094" t="inlineStr">
        <is>
          <t>Wholesale</t>
        </is>
      </c>
      <c r="H1094" t="n">
        <v>0.05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Cust 3320</t>
        </is>
      </c>
      <c r="P1094" t="n">
        <v>48.08</v>
      </c>
      <c r="Q1094" s="16" t="n">
        <v>45067</v>
      </c>
      <c r="R1094" s="16" t="n">
        <v>45075</v>
      </c>
      <c r="S1094" t="inlineStr">
        <is>
          <t>Wendy</t>
        </is>
      </c>
      <c r="T1094" t="inlineStr">
        <is>
          <t>2023-05</t>
        </is>
      </c>
    </row>
    <row r="1095">
      <c r="A1095" s="16" t="n">
        <v>45253</v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D</t>
        </is>
      </c>
      <c r="G1095" t="inlineStr">
        <is>
          <t>Retail</t>
        </is>
      </c>
      <c r="H1095" t="n">
        <v>0.15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Cust 8177</t>
        </is>
      </c>
      <c r="P1095" t="n">
        <v>34.69</v>
      </c>
      <c r="Q1095" s="16" t="n">
        <v>45253</v>
      </c>
      <c r="R1095" s="16" t="n">
        <v>45260</v>
      </c>
      <c r="S1095" t="inlineStr">
        <is>
          <t>Cameron</t>
        </is>
      </c>
      <c r="T1095" t="inlineStr">
        <is>
          <t>2023-11</t>
        </is>
      </c>
    </row>
    <row r="1096">
      <c r="A1096" s="16" t="n">
        <v>45377</v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0.15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Cust 1743</t>
        </is>
      </c>
      <c r="P1096" t="n">
        <v>34.44</v>
      </c>
      <c r="Q1096" s="16" t="n">
        <v>45377</v>
      </c>
      <c r="R1096" s="16" t="n">
        <v>45387</v>
      </c>
      <c r="S1096" t="inlineStr">
        <is>
          <t>Ryan</t>
        </is>
      </c>
      <c r="T1096" t="inlineStr">
        <is>
          <t>2024-03</t>
        </is>
      </c>
    </row>
    <row r="1097">
      <c r="A1097" s="16" t="n">
        <v>45560</v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D</t>
        </is>
      </c>
      <c r="G1097" t="inlineStr">
        <is>
          <t>Retail</t>
        </is>
      </c>
      <c r="H1097" t="n">
        <v>0.1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n">
        <v/>
      </c>
      <c r="M1097" t="n">
        <v>0</v>
      </c>
      <c r="N1097" t="inlineStr">
        <is>
          <t>REG101095</t>
        </is>
      </c>
      <c r="O1097" t="inlineStr">
        <is>
          <t>Cust 3719</t>
        </is>
      </c>
      <c r="P1097" t="n">
        <v>20.21</v>
      </c>
      <c r="Q1097" s="16" t="n">
        <v>45560</v>
      </c>
      <c r="R1097" s="16" t="n">
        <v>45567</v>
      </c>
      <c r="S1097" t="inlineStr">
        <is>
          <t>Sophie</t>
        </is>
      </c>
      <c r="T1097" t="inlineStr">
        <is>
          <t>2024-09</t>
        </is>
      </c>
    </row>
    <row r="1098">
      <c r="A1098" s="16" t="n">
        <v>45022</v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A</t>
        </is>
      </c>
      <c r="G1098" t="inlineStr">
        <is>
          <t>Wholesale</t>
        </is>
      </c>
      <c r="H1098" t="n">
        <v>0.15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Cust 9323</t>
        </is>
      </c>
      <c r="P1098" t="n">
        <v>5.35</v>
      </c>
      <c r="Q1098" s="16" t="n">
        <v>45022</v>
      </c>
      <c r="R1098" s="16" t="n">
        <v>45026</v>
      </c>
      <c r="S1098" t="inlineStr">
        <is>
          <t>Eric</t>
        </is>
      </c>
      <c r="T1098" t="inlineStr">
        <is>
          <t>2023-04</t>
        </is>
      </c>
    </row>
    <row r="1099">
      <c r="A1099" s="16" t="n">
        <v>45467</v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D</t>
        </is>
      </c>
      <c r="G1099" t="inlineStr">
        <is>
          <t>Retail</t>
        </is>
      </c>
      <c r="H1099" t="n">
        <v>0.05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n">
        <v/>
      </c>
      <c r="M1099" t="n">
        <v>1</v>
      </c>
      <c r="N1099" t="inlineStr">
        <is>
          <t>REG101097</t>
        </is>
      </c>
      <c r="O1099" t="inlineStr">
        <is>
          <t>Cust 1914</t>
        </is>
      </c>
      <c r="P1099" t="n">
        <v>17.43</v>
      </c>
      <c r="Q1099" s="16" t="n">
        <v>45467</v>
      </c>
      <c r="R1099" s="16" t="n">
        <v>45469</v>
      </c>
      <c r="S1099" t="inlineStr">
        <is>
          <t>Ryan</t>
        </is>
      </c>
      <c r="T1099" t="inlineStr">
        <is>
          <t>2024-06</t>
        </is>
      </c>
    </row>
    <row r="1100">
      <c r="A1100" s="16" t="n">
        <v>45641</v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B</t>
        </is>
      </c>
      <c r="G1100" t="inlineStr">
        <is>
          <t>Wholesale</t>
        </is>
      </c>
      <c r="H1100" t="n">
        <v>0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Cust 5928</t>
        </is>
      </c>
      <c r="P1100" t="n">
        <v>33.36</v>
      </c>
      <c r="Q1100" s="16" t="n">
        <v>45641</v>
      </c>
      <c r="R1100" s="16" t="n">
        <v>45649</v>
      </c>
      <c r="S1100" t="inlineStr">
        <is>
          <t>Sophie</t>
        </is>
      </c>
      <c r="T1100" t="inlineStr">
        <is>
          <t>2024-12</t>
        </is>
      </c>
    </row>
    <row r="1101">
      <c r="A1101" s="16" t="n">
        <v>45568</v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0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n">
        <v/>
      </c>
      <c r="M1101" t="n">
        <v>0</v>
      </c>
      <c r="N1101" t="inlineStr">
        <is>
          <t>REG101099</t>
        </is>
      </c>
      <c r="O1101" t="inlineStr">
        <is>
          <t>Cust 1904</t>
        </is>
      </c>
      <c r="P1101" t="n">
        <v>30.32</v>
      </c>
      <c r="Q1101" s="16" t="n">
        <v>45568</v>
      </c>
      <c r="R1101" s="16" t="n">
        <v>45576</v>
      </c>
      <c r="S1101" t="inlineStr">
        <is>
          <t>Ryan</t>
        </is>
      </c>
      <c r="T1101" t="inlineStr">
        <is>
          <t>2024-10</t>
        </is>
      </c>
    </row>
    <row r="1102">
      <c r="A1102" s="16" t="n">
        <v>45172</v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C</t>
        </is>
      </c>
      <c r="G1102" t="inlineStr">
        <is>
          <t>Wholesale</t>
        </is>
      </c>
      <c r="H1102" t="n">
        <v>0.05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Cust 8062</t>
        </is>
      </c>
      <c r="P1102" t="n">
        <v>25.05</v>
      </c>
      <c r="Q1102" s="16" t="n">
        <v>45172</v>
      </c>
      <c r="R1102" s="16" t="n">
        <v>45182</v>
      </c>
      <c r="S1102" t="inlineStr">
        <is>
          <t>Sophie</t>
        </is>
      </c>
      <c r="T1102" t="inlineStr">
        <is>
          <t>2023-09</t>
        </is>
      </c>
    </row>
    <row r="1103">
      <c r="A1103" s="16" t="n">
        <v>44955</v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B</t>
        </is>
      </c>
      <c r="G1103" t="inlineStr">
        <is>
          <t>Retail</t>
        </is>
      </c>
      <c r="H1103" t="n">
        <v>0.15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Cust 8150</t>
        </is>
      </c>
      <c r="P1103" t="n">
        <v>43.81</v>
      </c>
      <c r="Q1103" s="16" t="n">
        <v>44955</v>
      </c>
      <c r="R1103" s="16" t="n">
        <v>44962</v>
      </c>
      <c r="S1103" t="inlineStr">
        <is>
          <t>Ryan</t>
        </is>
      </c>
      <c r="T1103" t="inlineStr">
        <is>
          <t>2023-01</t>
        </is>
      </c>
    </row>
    <row r="1104">
      <c r="A1104" s="16" t="n">
        <v>45455</v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D</t>
        </is>
      </c>
      <c r="G1104" t="inlineStr">
        <is>
          <t>Wholesale</t>
        </is>
      </c>
      <c r="H1104" t="n">
        <v>0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Cust 3275</t>
        </is>
      </c>
      <c r="P1104" t="n">
        <v>49.82</v>
      </c>
      <c r="Q1104" s="16" t="n">
        <v>45455</v>
      </c>
      <c r="R1104" s="16" t="n">
        <v>45463</v>
      </c>
      <c r="S1104" t="inlineStr">
        <is>
          <t>Ryan</t>
        </is>
      </c>
      <c r="T1104" t="inlineStr">
        <is>
          <t>2024-06</t>
        </is>
      </c>
    </row>
    <row r="1105">
      <c r="A1105" s="16" t="n">
        <v>45620</v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0.15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n">
        <v/>
      </c>
      <c r="M1105" t="n">
        <v>0</v>
      </c>
      <c r="N1105" t="inlineStr">
        <is>
          <t>REG101103</t>
        </is>
      </c>
      <c r="O1105" t="inlineStr">
        <is>
          <t>Cust 3854</t>
        </is>
      </c>
      <c r="P1105" t="n">
        <v>16.08</v>
      </c>
      <c r="Q1105" s="16" t="n">
        <v>45620</v>
      </c>
      <c r="R1105" s="16" t="n">
        <v>45629</v>
      </c>
      <c r="S1105" t="inlineStr">
        <is>
          <t>Ryan</t>
        </is>
      </c>
      <c r="T1105" t="inlineStr">
        <is>
          <t>2024-11</t>
        </is>
      </c>
    </row>
    <row r="1106">
      <c r="A1106" s="16" t="n">
        <v>45153</v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A</t>
        </is>
      </c>
      <c r="G1106" t="inlineStr">
        <is>
          <t>Wholesale</t>
        </is>
      </c>
      <c r="H1106" t="n">
        <v>0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Cust 8398</t>
        </is>
      </c>
      <c r="P1106" t="n">
        <v>47.43</v>
      </c>
      <c r="Q1106" s="16" t="n">
        <v>45153</v>
      </c>
      <c r="R1106" s="16" t="n">
        <v>45158</v>
      </c>
      <c r="S1106" t="inlineStr">
        <is>
          <t>Wendy</t>
        </is>
      </c>
      <c r="T1106" t="inlineStr">
        <is>
          <t>2023-08</t>
        </is>
      </c>
    </row>
    <row r="1107">
      <c r="A1107" s="16" t="n">
        <v>45525</v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A</t>
        </is>
      </c>
      <c r="G1107" t="inlineStr">
        <is>
          <t>Wholesale</t>
        </is>
      </c>
      <c r="H1107" t="n">
        <v>0.1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Cust 4026</t>
        </is>
      </c>
      <c r="P1107" t="n">
        <v>6.85</v>
      </c>
      <c r="Q1107" s="16" t="n">
        <v>45525</v>
      </c>
      <c r="R1107" s="16" t="n">
        <v>45534</v>
      </c>
      <c r="S1107" t="inlineStr">
        <is>
          <t>Cameron</t>
        </is>
      </c>
      <c r="T1107" t="inlineStr">
        <is>
          <t>2024-08</t>
        </is>
      </c>
    </row>
    <row r="1108">
      <c r="A1108" s="16" t="n">
        <v>45070</v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0.1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Cust 5794</t>
        </is>
      </c>
      <c r="P1108" t="n">
        <v>32.92</v>
      </c>
      <c r="Q1108" s="16" t="n">
        <v>45070</v>
      </c>
      <c r="R1108" s="16" t="n">
        <v>45078</v>
      </c>
      <c r="S1108" t="inlineStr">
        <is>
          <t>Wendy</t>
        </is>
      </c>
      <c r="T1108" t="inlineStr">
        <is>
          <t>2023-05</t>
        </is>
      </c>
    </row>
    <row r="1109">
      <c r="A1109" s="16" t="n">
        <v>45043</v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A</t>
        </is>
      </c>
      <c r="G1109" t="inlineStr">
        <is>
          <t>Wholesale</t>
        </is>
      </c>
      <c r="H1109" t="n">
        <v>0.05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Cust 2917</t>
        </is>
      </c>
      <c r="P1109" t="n">
        <v>49.55</v>
      </c>
      <c r="Q1109" s="16" t="n">
        <v>45043</v>
      </c>
      <c r="R1109" s="16" t="n">
        <v>45047</v>
      </c>
      <c r="S1109" t="inlineStr">
        <is>
          <t>Wendy</t>
        </is>
      </c>
      <c r="T1109" t="inlineStr">
        <is>
          <t>2023-04</t>
        </is>
      </c>
    </row>
    <row r="1110">
      <c r="A1110" s="16" t="n">
        <v>45067</v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B</t>
        </is>
      </c>
      <c r="G1110" t="inlineStr">
        <is>
          <t>Retail</t>
        </is>
      </c>
      <c r="H1110" t="n">
        <v>0.1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Cust 5659</t>
        </is>
      </c>
      <c r="P1110" t="n">
        <v>43.72</v>
      </c>
      <c r="Q1110" s="16" t="n">
        <v>45067</v>
      </c>
      <c r="R1110" s="16" t="n">
        <v>45072</v>
      </c>
      <c r="S1110" t="inlineStr">
        <is>
          <t>Eric</t>
        </is>
      </c>
      <c r="T1110" t="inlineStr">
        <is>
          <t>2023-05</t>
        </is>
      </c>
    </row>
    <row r="1111">
      <c r="A1111" s="16" t="n">
        <v>45704</v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A</t>
        </is>
      </c>
      <c r="G1111" t="inlineStr">
        <is>
          <t>Wholesale</t>
        </is>
      </c>
      <c r="H1111" t="n">
        <v>0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Cust 1857</t>
        </is>
      </c>
      <c r="P1111" t="n">
        <v>42.06</v>
      </c>
      <c r="Q1111" s="16" t="n">
        <v>45704</v>
      </c>
      <c r="R1111" s="16" t="n">
        <v>45713</v>
      </c>
      <c r="S1111" t="inlineStr">
        <is>
          <t>Eric</t>
        </is>
      </c>
      <c r="T1111" t="inlineStr">
        <is>
          <t>2025-02</t>
        </is>
      </c>
    </row>
    <row r="1112">
      <c r="A1112" s="16" t="n">
        <v>45162</v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B</t>
        </is>
      </c>
      <c r="G1112" t="inlineStr">
        <is>
          <t>Retail</t>
        </is>
      </c>
      <c r="H1112" t="n">
        <v>0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Cust 6718</t>
        </is>
      </c>
      <c r="P1112" t="n">
        <v>28.74</v>
      </c>
      <c r="Q1112" s="16" t="n">
        <v>45162</v>
      </c>
      <c r="R1112" s="16" t="n">
        <v>45167</v>
      </c>
      <c r="S1112" t="inlineStr">
        <is>
          <t>Eric</t>
        </is>
      </c>
      <c r="T1112" t="inlineStr">
        <is>
          <t>2023-08</t>
        </is>
      </c>
    </row>
    <row r="1113">
      <c r="A1113" s="16" t="n">
        <v>45365</v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B</t>
        </is>
      </c>
      <c r="G1113" t="inlineStr">
        <is>
          <t>Retail</t>
        </is>
      </c>
      <c r="H1113" t="n">
        <v>0.1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Cust 8378</t>
        </is>
      </c>
      <c r="P1113" t="n">
        <v>39.26</v>
      </c>
      <c r="Q1113" s="16" t="n">
        <v>45365</v>
      </c>
      <c r="R1113" s="16" t="n">
        <v>45372</v>
      </c>
      <c r="S1113" t="inlineStr">
        <is>
          <t>Eric</t>
        </is>
      </c>
      <c r="T1113" t="inlineStr">
        <is>
          <t>2024-03</t>
        </is>
      </c>
    </row>
    <row r="1114">
      <c r="A1114" s="16" t="n">
        <v>45320</v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A</t>
        </is>
      </c>
      <c r="G1114" t="inlineStr">
        <is>
          <t>Retail</t>
        </is>
      </c>
      <c r="H1114" t="n">
        <v>0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Cust 3069</t>
        </is>
      </c>
      <c r="P1114" t="n">
        <v>44.96</v>
      </c>
      <c r="Q1114" s="16" t="n">
        <v>45320</v>
      </c>
      <c r="R1114" s="16" t="n">
        <v>45329</v>
      </c>
      <c r="S1114" t="inlineStr">
        <is>
          <t>Ryan</t>
        </is>
      </c>
      <c r="T1114" t="inlineStr">
        <is>
          <t>2024-01</t>
        </is>
      </c>
    </row>
    <row r="1115">
      <c r="A1115" s="16" t="n">
        <v>45513</v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C</t>
        </is>
      </c>
      <c r="G1115" t="inlineStr">
        <is>
          <t>Retail</t>
        </is>
      </c>
      <c r="H1115" t="n">
        <v>0.1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n">
        <v/>
      </c>
      <c r="M1115" t="n">
        <v>0</v>
      </c>
      <c r="N1115" t="inlineStr">
        <is>
          <t>REG101113</t>
        </is>
      </c>
      <c r="O1115" t="inlineStr">
        <is>
          <t>Cust 7619</t>
        </is>
      </c>
      <c r="P1115" t="n">
        <v>20.06</v>
      </c>
      <c r="Q1115" s="16" t="n">
        <v>45513</v>
      </c>
      <c r="R1115" s="16" t="n">
        <v>45519</v>
      </c>
      <c r="S1115" t="inlineStr">
        <is>
          <t>Sophie</t>
        </is>
      </c>
      <c r="T1115" t="inlineStr">
        <is>
          <t>2024-08</t>
        </is>
      </c>
    </row>
    <row r="1116">
      <c r="A1116" s="16" t="n">
        <v>45481</v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B</t>
        </is>
      </c>
      <c r="G1116" t="inlineStr">
        <is>
          <t>Retail</t>
        </is>
      </c>
      <c r="H1116" t="n">
        <v>0.15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Cust 6167</t>
        </is>
      </c>
      <c r="P1116" t="n">
        <v>13.23</v>
      </c>
      <c r="Q1116" s="16" t="n">
        <v>45481</v>
      </c>
      <c r="R1116" s="16" t="n">
        <v>45490</v>
      </c>
      <c r="S1116" t="inlineStr">
        <is>
          <t>Ryan</t>
        </is>
      </c>
      <c r="T1116" t="inlineStr">
        <is>
          <t>2024-07</t>
        </is>
      </c>
    </row>
    <row r="1117">
      <c r="A1117" s="16" t="n">
        <v>45524</v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A</t>
        </is>
      </c>
      <c r="G1117" t="inlineStr">
        <is>
          <t>Retail</t>
        </is>
      </c>
      <c r="H1117" t="n">
        <v>0.05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n">
        <v/>
      </c>
      <c r="M1117" t="n">
        <v>0</v>
      </c>
      <c r="N1117" t="inlineStr">
        <is>
          <t>REG101115</t>
        </is>
      </c>
      <c r="O1117" t="inlineStr">
        <is>
          <t>Cust 2453</t>
        </is>
      </c>
      <c r="P1117" t="n">
        <v>37.81</v>
      </c>
      <c r="Q1117" s="16" t="n">
        <v>45524</v>
      </c>
      <c r="R1117" s="16" t="n">
        <v>45533</v>
      </c>
      <c r="S1117" t="inlineStr">
        <is>
          <t>Ryan</t>
        </is>
      </c>
      <c r="T1117" t="inlineStr">
        <is>
          <t>2024-08</t>
        </is>
      </c>
    </row>
    <row r="1118">
      <c r="A1118" s="16" t="n">
        <v>45103</v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C</t>
        </is>
      </c>
      <c r="G1118" t="inlineStr">
        <is>
          <t>Retail</t>
        </is>
      </c>
      <c r="H1118" t="n">
        <v>0.1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n">
        <v/>
      </c>
      <c r="M1118" t="n">
        <v>1</v>
      </c>
      <c r="N1118" t="inlineStr">
        <is>
          <t>REG101116</t>
        </is>
      </c>
      <c r="O1118" t="inlineStr">
        <is>
          <t>Cust 8896</t>
        </is>
      </c>
      <c r="P1118" t="n">
        <v>23.31</v>
      </c>
      <c r="Q1118" s="16" t="n">
        <v>45103</v>
      </c>
      <c r="R1118" s="16" t="n">
        <v>45105</v>
      </c>
      <c r="S1118" t="inlineStr">
        <is>
          <t>Cameron</t>
        </is>
      </c>
      <c r="T1118" t="inlineStr">
        <is>
          <t>2023-06</t>
        </is>
      </c>
    </row>
    <row r="1119">
      <c r="A1119" s="16" t="n">
        <v>45283</v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D</t>
        </is>
      </c>
      <c r="G1119" t="inlineStr">
        <is>
          <t>Wholesale</t>
        </is>
      </c>
      <c r="H1119" t="n">
        <v>0.15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Cust 8800</t>
        </is>
      </c>
      <c r="P1119" t="n">
        <v>26.5</v>
      </c>
      <c r="Q1119" s="16" t="n">
        <v>45283</v>
      </c>
      <c r="R1119" s="16" t="n">
        <v>45285</v>
      </c>
      <c r="S1119" t="inlineStr">
        <is>
          <t>Eric</t>
        </is>
      </c>
      <c r="T1119" t="inlineStr">
        <is>
          <t>2023-12</t>
        </is>
      </c>
    </row>
    <row r="1120">
      <c r="A1120" s="16" t="n">
        <v>45158</v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A</t>
        </is>
      </c>
      <c r="G1120" t="inlineStr">
        <is>
          <t>Retail</t>
        </is>
      </c>
      <c r="H1120" t="n">
        <v>0.1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Cust 1819</t>
        </is>
      </c>
      <c r="P1120" t="n">
        <v>7.31</v>
      </c>
      <c r="Q1120" s="16" t="n">
        <v>45158</v>
      </c>
      <c r="R1120" s="16" t="n">
        <v>45165</v>
      </c>
      <c r="S1120" t="inlineStr">
        <is>
          <t>Cameron</t>
        </is>
      </c>
      <c r="T1120" t="inlineStr">
        <is>
          <t>2023-08</t>
        </is>
      </c>
    </row>
    <row r="1121">
      <c r="A1121" s="16" t="n">
        <v>45593</v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D</t>
        </is>
      </c>
      <c r="G1121" t="inlineStr">
        <is>
          <t>Wholesale</t>
        </is>
      </c>
      <c r="H1121" t="n">
        <v>0.05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Cust 1300</t>
        </is>
      </c>
      <c r="P1121" t="n">
        <v>11.45</v>
      </c>
      <c r="Q1121" s="16" t="n">
        <v>45593</v>
      </c>
      <c r="R1121" s="16" t="n">
        <v>45602</v>
      </c>
      <c r="S1121" t="inlineStr">
        <is>
          <t>Wendy</t>
        </is>
      </c>
      <c r="T1121" t="inlineStr">
        <is>
          <t>2024-10</t>
        </is>
      </c>
    </row>
    <row r="1122">
      <c r="A1122" s="16" t="n">
        <v>45607</v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A</t>
        </is>
      </c>
      <c r="G1122" t="inlineStr">
        <is>
          <t>Wholesale</t>
        </is>
      </c>
      <c r="H1122" t="n">
        <v>0.1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Cust 3807</t>
        </is>
      </c>
      <c r="P1122" t="n">
        <v>49.91</v>
      </c>
      <c r="Q1122" s="16" t="n">
        <v>45607</v>
      </c>
      <c r="R1122" s="16" t="n">
        <v>45617</v>
      </c>
      <c r="S1122" t="inlineStr">
        <is>
          <t>Eric</t>
        </is>
      </c>
      <c r="T1122" t="inlineStr">
        <is>
          <t>2024-11</t>
        </is>
      </c>
    </row>
    <row r="1123">
      <c r="A1123" s="16" t="n">
        <v>45267</v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A</t>
        </is>
      </c>
      <c r="G1123" t="inlineStr">
        <is>
          <t>Retail</t>
        </is>
      </c>
      <c r="H1123" t="n">
        <v>0.15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Cust 6633</t>
        </is>
      </c>
      <c r="P1123" t="n">
        <v>40.18</v>
      </c>
      <c r="Q1123" s="16" t="n">
        <v>45267</v>
      </c>
      <c r="R1123" s="16" t="n">
        <v>45275</v>
      </c>
      <c r="S1123" t="inlineStr">
        <is>
          <t>Wendy</t>
        </is>
      </c>
      <c r="T1123" t="inlineStr">
        <is>
          <t>2023-12</t>
        </is>
      </c>
    </row>
    <row r="1124">
      <c r="A1124" s="16" t="n">
        <v>45374</v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0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Cust 6573</t>
        </is>
      </c>
      <c r="P1124" t="n">
        <v>37.91</v>
      </c>
      <c r="Q1124" s="16" t="n">
        <v>45374</v>
      </c>
      <c r="R1124" s="16" t="n">
        <v>45384</v>
      </c>
      <c r="S1124" t="inlineStr">
        <is>
          <t>Wendy</t>
        </is>
      </c>
      <c r="T1124" t="inlineStr">
        <is>
          <t>2024-03</t>
        </is>
      </c>
    </row>
    <row r="1125">
      <c r="A1125" s="16" t="n">
        <v>45594</v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D</t>
        </is>
      </c>
      <c r="G1125" t="inlineStr">
        <is>
          <t>Retail</t>
        </is>
      </c>
      <c r="H1125" t="n">
        <v>0.05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Cust 8600</t>
        </is>
      </c>
      <c r="P1125" t="n">
        <v>8.779999999999999</v>
      </c>
      <c r="Q1125" s="16" t="n">
        <v>45594</v>
      </c>
      <c r="R1125" s="16" t="n">
        <v>45598</v>
      </c>
      <c r="S1125" t="inlineStr">
        <is>
          <t>Wendy</t>
        </is>
      </c>
      <c r="T1125" t="inlineStr">
        <is>
          <t>2024-10</t>
        </is>
      </c>
    </row>
    <row r="1126">
      <c r="A1126" s="16" t="n">
        <v>45825</v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B</t>
        </is>
      </c>
      <c r="G1126" t="inlineStr">
        <is>
          <t>Retail</t>
        </is>
      </c>
      <c r="H1126" t="n">
        <v>0.1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Cust 8654</t>
        </is>
      </c>
      <c r="P1126" t="n">
        <v>39.32</v>
      </c>
      <c r="Q1126" s="16" t="n">
        <v>45825</v>
      </c>
      <c r="R1126" s="16" t="n">
        <v>45830</v>
      </c>
      <c r="S1126" t="inlineStr">
        <is>
          <t>Eric</t>
        </is>
      </c>
      <c r="T1126" t="inlineStr">
        <is>
          <t>2025-06</t>
        </is>
      </c>
    </row>
    <row r="1127">
      <c r="A1127" s="16" t="n">
        <v>45003</v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C</t>
        </is>
      </c>
      <c r="G1127" t="inlineStr">
        <is>
          <t>Retail</t>
        </is>
      </c>
      <c r="H1127" t="n">
        <v>0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Cust 3708</t>
        </is>
      </c>
      <c r="P1127" t="n">
        <v>29.95</v>
      </c>
      <c r="Q1127" s="16" t="n">
        <v>45003</v>
      </c>
      <c r="R1127" s="16" t="n">
        <v>45011</v>
      </c>
      <c r="S1127" t="inlineStr">
        <is>
          <t>Ryan</t>
        </is>
      </c>
      <c r="T1127" t="inlineStr">
        <is>
          <t>2023-03</t>
        </is>
      </c>
    </row>
    <row r="1128">
      <c r="A1128" s="16" t="n">
        <v>44945</v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D</t>
        </is>
      </c>
      <c r="G1128" t="inlineStr">
        <is>
          <t>Wholesale</t>
        </is>
      </c>
      <c r="H1128" t="n">
        <v>0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Cust 1268</t>
        </is>
      </c>
      <c r="P1128" t="n">
        <v>36.38</v>
      </c>
      <c r="Q1128" s="16" t="n">
        <v>44945</v>
      </c>
      <c r="R1128" s="16" t="n">
        <v>44949</v>
      </c>
      <c r="S1128" t="inlineStr">
        <is>
          <t>Eric</t>
        </is>
      </c>
      <c r="T1128" t="inlineStr">
        <is>
          <t>2023-01</t>
        </is>
      </c>
    </row>
    <row r="1129">
      <c r="A1129" s="16" t="n">
        <v>45116</v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A</t>
        </is>
      </c>
      <c r="G1129" t="inlineStr">
        <is>
          <t>Retail</t>
        </is>
      </c>
      <c r="H1129" t="n">
        <v>0.05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Cust 5600</t>
        </is>
      </c>
      <c r="P1129" t="n">
        <v>17.14</v>
      </c>
      <c r="Q1129" s="16" t="n">
        <v>45116</v>
      </c>
      <c r="R1129" s="16" t="n">
        <v>45121</v>
      </c>
      <c r="S1129" t="inlineStr">
        <is>
          <t>Wendy</t>
        </is>
      </c>
      <c r="T1129" t="inlineStr">
        <is>
          <t>2023-07</t>
        </is>
      </c>
    </row>
    <row r="1130">
      <c r="A1130" s="16" t="n">
        <v>45732</v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B</t>
        </is>
      </c>
      <c r="G1130" t="inlineStr">
        <is>
          <t>Retail</t>
        </is>
      </c>
      <c r="H1130" t="n">
        <v>0.05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n">
        <v/>
      </c>
      <c r="M1130" t="n">
        <v>1</v>
      </c>
      <c r="N1130" t="inlineStr">
        <is>
          <t>REG101128</t>
        </is>
      </c>
      <c r="O1130" t="inlineStr">
        <is>
          <t>Cust 2438</t>
        </is>
      </c>
      <c r="P1130" t="n">
        <v>43.41</v>
      </c>
      <c r="Q1130" s="16" t="n">
        <v>45732</v>
      </c>
      <c r="R1130" s="16" t="n">
        <v>45742</v>
      </c>
      <c r="S1130" t="inlineStr">
        <is>
          <t>Eric</t>
        </is>
      </c>
      <c r="T1130" t="inlineStr">
        <is>
          <t>2025-03</t>
        </is>
      </c>
    </row>
    <row r="1131">
      <c r="A1131" s="16" t="n">
        <v>45696</v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B</t>
        </is>
      </c>
      <c r="G1131" t="inlineStr">
        <is>
          <t>Retail</t>
        </is>
      </c>
      <c r="H1131" t="n">
        <v>0.1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Cust 4293</t>
        </is>
      </c>
      <c r="P1131" t="n">
        <v>18.13</v>
      </c>
      <c r="Q1131" s="16" t="n">
        <v>45696</v>
      </c>
      <c r="R1131" s="16" t="n">
        <v>45701</v>
      </c>
      <c r="S1131" t="inlineStr">
        <is>
          <t>Ryan</t>
        </is>
      </c>
      <c r="T1131" t="inlineStr">
        <is>
          <t>2025-02</t>
        </is>
      </c>
    </row>
    <row r="1132">
      <c r="A1132" s="16" t="n">
        <v>45402</v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0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Cust 6895</t>
        </is>
      </c>
      <c r="P1132" t="n">
        <v>36.23</v>
      </c>
      <c r="Q1132" s="16" t="n">
        <v>45402</v>
      </c>
      <c r="R1132" s="16" t="n">
        <v>45404</v>
      </c>
      <c r="S1132" t="inlineStr">
        <is>
          <t>Sophie</t>
        </is>
      </c>
      <c r="T1132" t="inlineStr">
        <is>
          <t>2024-04</t>
        </is>
      </c>
    </row>
    <row r="1133">
      <c r="A1133" s="16" t="n">
        <v>45813</v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A</t>
        </is>
      </c>
      <c r="G1133" t="inlineStr">
        <is>
          <t>Retail</t>
        </is>
      </c>
      <c r="H1133" t="n">
        <v>0.1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Cust 2616</t>
        </is>
      </c>
      <c r="P1133" t="n">
        <v>38.94</v>
      </c>
      <c r="Q1133" s="16" t="n">
        <v>45813</v>
      </c>
      <c r="R1133" s="16" t="n">
        <v>45815</v>
      </c>
      <c r="S1133" t="inlineStr">
        <is>
          <t>Eric</t>
        </is>
      </c>
      <c r="T1133" t="inlineStr">
        <is>
          <t>2025-06</t>
        </is>
      </c>
    </row>
    <row r="1134">
      <c r="A1134" s="16" t="n">
        <v>45772</v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B</t>
        </is>
      </c>
      <c r="G1134" t="inlineStr">
        <is>
          <t>Retail</t>
        </is>
      </c>
      <c r="H1134" t="n">
        <v>0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Cust 5362</t>
        </is>
      </c>
      <c r="P1134" t="n">
        <v>30.78</v>
      </c>
      <c r="Q1134" s="16" t="n">
        <v>45772</v>
      </c>
      <c r="R1134" s="16" t="n">
        <v>45780</v>
      </c>
      <c r="S1134" t="inlineStr">
        <is>
          <t>Sophie</t>
        </is>
      </c>
      <c r="T1134" t="inlineStr">
        <is>
          <t>2025-04</t>
        </is>
      </c>
    </row>
    <row r="1135">
      <c r="A1135" s="16" t="n">
        <v>45175</v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0.05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Cust 1670</t>
        </is>
      </c>
      <c r="P1135" t="n">
        <v>25.31</v>
      </c>
      <c r="Q1135" s="16" t="n">
        <v>45175</v>
      </c>
      <c r="R1135" s="16" t="n">
        <v>45182</v>
      </c>
      <c r="S1135" t="inlineStr">
        <is>
          <t>Cameron</t>
        </is>
      </c>
      <c r="T1135" t="inlineStr">
        <is>
          <t>2023-09</t>
        </is>
      </c>
    </row>
    <row r="1136">
      <c r="A1136" s="16" t="n">
        <v>45198</v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0.1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Cust 2254</t>
        </is>
      </c>
      <c r="P1136" t="n">
        <v>30.97</v>
      </c>
      <c r="Q1136" s="16" t="n">
        <v>45198</v>
      </c>
      <c r="R1136" s="16" t="n">
        <v>45201</v>
      </c>
      <c r="S1136" t="inlineStr">
        <is>
          <t>Eric</t>
        </is>
      </c>
      <c r="T1136" t="inlineStr">
        <is>
          <t>2023-09</t>
        </is>
      </c>
    </row>
    <row r="1137">
      <c r="A1137" s="16" t="n">
        <v>45433</v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A</t>
        </is>
      </c>
      <c r="G1137" t="inlineStr">
        <is>
          <t>Wholesale</t>
        </is>
      </c>
      <c r="H1137" t="n">
        <v>0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Cust 9521</t>
        </is>
      </c>
      <c r="P1137" t="n">
        <v>10.56</v>
      </c>
      <c r="Q1137" s="16" t="n">
        <v>45433</v>
      </c>
      <c r="R1137" s="16" t="n">
        <v>45435</v>
      </c>
      <c r="S1137" t="inlineStr">
        <is>
          <t>Cameron</t>
        </is>
      </c>
      <c r="T1137" t="inlineStr">
        <is>
          <t>2024-05</t>
        </is>
      </c>
    </row>
    <row r="1138">
      <c r="A1138" s="16" t="n">
        <v>45760</v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A</t>
        </is>
      </c>
      <c r="G1138" t="inlineStr">
        <is>
          <t>Wholesale</t>
        </is>
      </c>
      <c r="H1138" t="n">
        <v>0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n">
        <v/>
      </c>
      <c r="M1138" t="n">
        <v>0</v>
      </c>
      <c r="N1138" t="inlineStr">
        <is>
          <t>REG101136</t>
        </is>
      </c>
      <c r="O1138" t="inlineStr">
        <is>
          <t>Cust 3921</t>
        </is>
      </c>
      <c r="P1138" t="n">
        <v>48.32</v>
      </c>
      <c r="Q1138" s="16" t="n">
        <v>45760</v>
      </c>
      <c r="R1138" s="16" t="n">
        <v>45766</v>
      </c>
      <c r="S1138" t="inlineStr">
        <is>
          <t>Wendy</t>
        </is>
      </c>
      <c r="T1138" t="inlineStr">
        <is>
          <t>2025-04</t>
        </is>
      </c>
    </row>
    <row r="1139">
      <c r="A1139" s="16" t="n">
        <v>45612</v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A</t>
        </is>
      </c>
      <c r="G1139" t="inlineStr">
        <is>
          <t>Wholesale</t>
        </is>
      </c>
      <c r="H1139" t="n">
        <v>0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Cust 7628</t>
        </is>
      </c>
      <c r="P1139" t="n">
        <v>30.08</v>
      </c>
      <c r="Q1139" s="16" t="n">
        <v>45612</v>
      </c>
      <c r="R1139" s="16" t="n">
        <v>45616</v>
      </c>
      <c r="S1139" t="inlineStr">
        <is>
          <t>Eric</t>
        </is>
      </c>
      <c r="T1139" t="inlineStr">
        <is>
          <t>2024-11</t>
        </is>
      </c>
    </row>
    <row r="1140">
      <c r="A1140" s="16" t="n">
        <v>45493</v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A</t>
        </is>
      </c>
      <c r="G1140" t="inlineStr">
        <is>
          <t>Retail</t>
        </is>
      </c>
      <c r="H1140" t="n">
        <v>0.1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Cust 2453</t>
        </is>
      </c>
      <c r="P1140" t="n">
        <v>45.61</v>
      </c>
      <c r="Q1140" s="16" t="n">
        <v>45493</v>
      </c>
      <c r="R1140" s="16" t="n">
        <v>45501</v>
      </c>
      <c r="S1140" t="inlineStr">
        <is>
          <t>Ryan</t>
        </is>
      </c>
      <c r="T1140" t="inlineStr">
        <is>
          <t>2024-07</t>
        </is>
      </c>
    </row>
    <row r="1141">
      <c r="A1141" s="16" t="n">
        <v>45066</v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0.15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n">
        <v/>
      </c>
      <c r="M1141" t="n">
        <v>0</v>
      </c>
      <c r="N1141" t="inlineStr">
        <is>
          <t>REG101139</t>
        </is>
      </c>
      <c r="O1141" t="inlineStr">
        <is>
          <t>Cust 4210</t>
        </is>
      </c>
      <c r="P1141" t="n">
        <v>11.49</v>
      </c>
      <c r="Q1141" s="16" t="n">
        <v>45066</v>
      </c>
      <c r="R1141" s="16" t="n">
        <v>45073</v>
      </c>
      <c r="S1141" t="inlineStr">
        <is>
          <t>Ryan</t>
        </is>
      </c>
      <c r="T1141" t="inlineStr">
        <is>
          <t>2023-05</t>
        </is>
      </c>
    </row>
    <row r="1142">
      <c r="A1142" s="16" t="n">
        <v>45221</v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B</t>
        </is>
      </c>
      <c r="G1142" t="inlineStr">
        <is>
          <t>Wholesale</t>
        </is>
      </c>
      <c r="H1142" t="n">
        <v>0.15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Cust 1951</t>
        </is>
      </c>
      <c r="P1142" t="n">
        <v>12.53</v>
      </c>
      <c r="Q1142" s="16" t="n">
        <v>45221</v>
      </c>
      <c r="R1142" s="16" t="n">
        <v>45225</v>
      </c>
      <c r="S1142" t="inlineStr">
        <is>
          <t>Wendy</t>
        </is>
      </c>
      <c r="T1142" t="inlineStr">
        <is>
          <t>2023-10</t>
        </is>
      </c>
    </row>
    <row r="1143">
      <c r="A1143" s="16" t="n">
        <v>45795</v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D</t>
        </is>
      </c>
      <c r="G1143" t="inlineStr">
        <is>
          <t>Wholesale</t>
        </is>
      </c>
      <c r="H1143" t="n">
        <v>0.15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Cust 9405</t>
        </is>
      </c>
      <c r="P1143" t="n">
        <v>32.22</v>
      </c>
      <c r="Q1143" s="16" t="n">
        <v>45795</v>
      </c>
      <c r="R1143" s="16" t="n">
        <v>45798</v>
      </c>
      <c r="S1143" t="inlineStr">
        <is>
          <t>Ryan</t>
        </is>
      </c>
      <c r="T1143" t="inlineStr">
        <is>
          <t>2025-05</t>
        </is>
      </c>
    </row>
    <row r="1144">
      <c r="A1144" s="16" t="n">
        <v>45354</v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B</t>
        </is>
      </c>
      <c r="G1144" t="inlineStr">
        <is>
          <t>Wholesale</t>
        </is>
      </c>
      <c r="H1144" t="n">
        <v>0.15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Cust 8769</t>
        </is>
      </c>
      <c r="P1144" t="n">
        <v>19.41</v>
      </c>
      <c r="Q1144" s="16" t="n">
        <v>45354</v>
      </c>
      <c r="R1144" s="16" t="n">
        <v>45357</v>
      </c>
      <c r="S1144" t="inlineStr">
        <is>
          <t>Sophie</t>
        </is>
      </c>
      <c r="T1144" t="inlineStr">
        <is>
          <t>2024-03</t>
        </is>
      </c>
    </row>
    <row r="1145">
      <c r="A1145" s="16" t="n">
        <v>45130</v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B</t>
        </is>
      </c>
      <c r="G1145" t="inlineStr">
        <is>
          <t>Retail</t>
        </is>
      </c>
      <c r="H1145" t="n">
        <v>0.1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n">
        <v/>
      </c>
      <c r="M1145" t="n">
        <v>0</v>
      </c>
      <c r="N1145" t="inlineStr">
        <is>
          <t>REG101143</t>
        </is>
      </c>
      <c r="O1145" t="inlineStr">
        <is>
          <t>Cust 9982</t>
        </is>
      </c>
      <c r="P1145" t="n">
        <v>7.34</v>
      </c>
      <c r="Q1145" s="16" t="n">
        <v>45130</v>
      </c>
      <c r="R1145" s="16" t="n">
        <v>45140</v>
      </c>
      <c r="S1145" t="inlineStr">
        <is>
          <t>Eric</t>
        </is>
      </c>
      <c r="T1145" t="inlineStr">
        <is>
          <t>2023-07</t>
        </is>
      </c>
    </row>
    <row r="1146">
      <c r="A1146" s="16" t="n">
        <v>45697</v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B</t>
        </is>
      </c>
      <c r="G1146" t="inlineStr">
        <is>
          <t>Retail</t>
        </is>
      </c>
      <c r="H1146" t="n">
        <v>0.1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Cust 4068</t>
        </is>
      </c>
      <c r="P1146" t="n">
        <v>46.21</v>
      </c>
      <c r="Q1146" s="16" t="n">
        <v>45697</v>
      </c>
      <c r="R1146" s="16" t="n">
        <v>45702</v>
      </c>
      <c r="S1146" t="inlineStr">
        <is>
          <t>Ryan</t>
        </is>
      </c>
      <c r="T1146" t="inlineStr">
        <is>
          <t>2025-02</t>
        </is>
      </c>
    </row>
    <row r="1147">
      <c r="A1147" s="16" t="n">
        <v>44943</v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B</t>
        </is>
      </c>
      <c r="G1147" t="inlineStr">
        <is>
          <t>Wholesale</t>
        </is>
      </c>
      <c r="H1147" t="n">
        <v>0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Cust 3523</t>
        </is>
      </c>
      <c r="P1147" t="n">
        <v>26.25</v>
      </c>
      <c r="Q1147" s="16" t="n">
        <v>44943</v>
      </c>
      <c r="R1147" s="16" t="n">
        <v>44949</v>
      </c>
      <c r="S1147" t="inlineStr">
        <is>
          <t>Sophie</t>
        </is>
      </c>
      <c r="T1147" t="inlineStr">
        <is>
          <t>2023-01</t>
        </is>
      </c>
    </row>
    <row r="1148">
      <c r="A1148" s="16" t="n">
        <v>45186</v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0.05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Cust 3377</t>
        </is>
      </c>
      <c r="P1148" t="n">
        <v>39.4</v>
      </c>
      <c r="Q1148" s="16" t="n">
        <v>45186</v>
      </c>
      <c r="R1148" s="16" t="n">
        <v>45195</v>
      </c>
      <c r="S1148" t="inlineStr">
        <is>
          <t>Ryan</t>
        </is>
      </c>
      <c r="T1148" t="inlineStr">
        <is>
          <t>2023-09</t>
        </is>
      </c>
    </row>
    <row r="1149">
      <c r="A1149" s="16" t="n">
        <v>45703</v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D</t>
        </is>
      </c>
      <c r="G1149" t="inlineStr">
        <is>
          <t>Wholesale</t>
        </is>
      </c>
      <c r="H1149" t="n">
        <v>0.1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Cust 3125</t>
        </is>
      </c>
      <c r="P1149" t="n">
        <v>10.77</v>
      </c>
      <c r="Q1149" s="16" t="n">
        <v>45703</v>
      </c>
      <c r="R1149" s="16" t="n">
        <v>45711</v>
      </c>
      <c r="S1149" t="inlineStr">
        <is>
          <t>Ryan</t>
        </is>
      </c>
      <c r="T1149" t="inlineStr">
        <is>
          <t>2025-02</t>
        </is>
      </c>
    </row>
    <row r="1150">
      <c r="A1150" s="16" t="n">
        <v>45206</v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C</t>
        </is>
      </c>
      <c r="G1150" t="inlineStr">
        <is>
          <t>Wholesale</t>
        </is>
      </c>
      <c r="H1150" t="n">
        <v>0.05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Cust 4623</t>
        </is>
      </c>
      <c r="P1150" t="n">
        <v>38.61</v>
      </c>
      <c r="Q1150" s="16" t="n">
        <v>45206</v>
      </c>
      <c r="R1150" s="16" t="n">
        <v>45208</v>
      </c>
      <c r="S1150" t="inlineStr">
        <is>
          <t>Wendy</t>
        </is>
      </c>
      <c r="T1150" t="inlineStr">
        <is>
          <t>2023-10</t>
        </is>
      </c>
    </row>
    <row r="1151">
      <c r="A1151" s="16" t="n">
        <v>45146</v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A</t>
        </is>
      </c>
      <c r="G1151" t="inlineStr">
        <is>
          <t>Wholesale</t>
        </is>
      </c>
      <c r="H1151" t="n">
        <v>0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Cust 4571</t>
        </is>
      </c>
      <c r="P1151" t="n">
        <v>30.7</v>
      </c>
      <c r="Q1151" s="16" t="n">
        <v>45146</v>
      </c>
      <c r="R1151" s="16" t="n">
        <v>45148</v>
      </c>
      <c r="S1151" t="inlineStr">
        <is>
          <t>Wendy</t>
        </is>
      </c>
      <c r="T1151" t="inlineStr">
        <is>
          <t>2023-08</t>
        </is>
      </c>
    </row>
    <row r="1152">
      <c r="A1152" s="16" t="n">
        <v>45159</v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C</t>
        </is>
      </c>
      <c r="G1152" t="inlineStr">
        <is>
          <t>Wholesale</t>
        </is>
      </c>
      <c r="H1152" t="n">
        <v>0.15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Cust 6453</t>
        </is>
      </c>
      <c r="P1152" t="n">
        <v>26.04</v>
      </c>
      <c r="Q1152" s="16" t="n">
        <v>45159</v>
      </c>
      <c r="R1152" s="16" t="n">
        <v>45165</v>
      </c>
      <c r="S1152" t="inlineStr">
        <is>
          <t>Eric</t>
        </is>
      </c>
      <c r="T1152" t="inlineStr">
        <is>
          <t>2023-08</t>
        </is>
      </c>
    </row>
    <row r="1153">
      <c r="A1153" s="16" t="n">
        <v>45480</v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D</t>
        </is>
      </c>
      <c r="G1153" t="inlineStr">
        <is>
          <t>Retail</t>
        </is>
      </c>
      <c r="H1153" t="n">
        <v>0.1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Cust 6982</t>
        </is>
      </c>
      <c r="P1153" t="n">
        <v>29.31</v>
      </c>
      <c r="Q1153" s="16" t="n">
        <v>45480</v>
      </c>
      <c r="R1153" s="16" t="n">
        <v>45484</v>
      </c>
      <c r="S1153" t="inlineStr">
        <is>
          <t>Ryan</t>
        </is>
      </c>
      <c r="T1153" t="inlineStr">
        <is>
          <t>2024-07</t>
        </is>
      </c>
    </row>
    <row r="1154">
      <c r="A1154" s="16" t="n">
        <v>45674</v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D</t>
        </is>
      </c>
      <c r="G1154" t="inlineStr">
        <is>
          <t>Retail</t>
        </is>
      </c>
      <c r="H1154" t="n">
        <v>0.15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Cust 6824</t>
        </is>
      </c>
      <c r="P1154" t="n">
        <v>30.87</v>
      </c>
      <c r="Q1154" s="16" t="n">
        <v>45674</v>
      </c>
      <c r="R1154" s="16" t="n">
        <v>45681</v>
      </c>
      <c r="S1154" t="inlineStr">
        <is>
          <t>Sophie</t>
        </is>
      </c>
      <c r="T1154" t="inlineStr">
        <is>
          <t>2025-01</t>
        </is>
      </c>
    </row>
    <row r="1155">
      <c r="A1155" s="16" t="n">
        <v>45266</v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D</t>
        </is>
      </c>
      <c r="G1155" t="inlineStr">
        <is>
          <t>Wholesale</t>
        </is>
      </c>
      <c r="H1155" t="n">
        <v>0.15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n">
        <v/>
      </c>
      <c r="M1155" t="n">
        <v>0</v>
      </c>
      <c r="N1155" t="inlineStr">
        <is>
          <t>REG101153</t>
        </is>
      </c>
      <c r="O1155" t="inlineStr">
        <is>
          <t>Cust 3172</t>
        </is>
      </c>
      <c r="P1155" t="n">
        <v>16</v>
      </c>
      <c r="Q1155" s="16" t="n">
        <v>45266</v>
      </c>
      <c r="R1155" s="16" t="n">
        <v>45276</v>
      </c>
      <c r="S1155" t="inlineStr">
        <is>
          <t>Ryan</t>
        </is>
      </c>
      <c r="T1155" t="inlineStr">
        <is>
          <t>2023-12</t>
        </is>
      </c>
    </row>
    <row r="1156">
      <c r="A1156" s="16" t="n">
        <v>44986</v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0.05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n">
        <v/>
      </c>
      <c r="M1156" t="n">
        <v>0</v>
      </c>
      <c r="N1156" t="inlineStr">
        <is>
          <t>REG101154</t>
        </is>
      </c>
      <c r="O1156" t="inlineStr">
        <is>
          <t>Cust 8146</t>
        </is>
      </c>
      <c r="P1156" t="n">
        <v>31.55</v>
      </c>
      <c r="Q1156" s="16" t="n">
        <v>44986</v>
      </c>
      <c r="R1156" s="16" t="n">
        <v>44989</v>
      </c>
      <c r="S1156" t="inlineStr">
        <is>
          <t>Sophie</t>
        </is>
      </c>
      <c r="T1156" t="inlineStr">
        <is>
          <t>2023-03</t>
        </is>
      </c>
    </row>
    <row r="1157">
      <c r="A1157" s="16" t="n">
        <v>45699</v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B</t>
        </is>
      </c>
      <c r="G1157" t="inlineStr">
        <is>
          <t>Wholesale</t>
        </is>
      </c>
      <c r="H1157" t="n">
        <v>0.1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Cust 3299</t>
        </is>
      </c>
      <c r="P1157" t="n">
        <v>6.28</v>
      </c>
      <c r="Q1157" s="16" t="n">
        <v>45699</v>
      </c>
      <c r="R1157" s="16" t="n">
        <v>45703</v>
      </c>
      <c r="S1157" t="inlineStr">
        <is>
          <t>Ryan</t>
        </is>
      </c>
      <c r="T1157" t="inlineStr">
        <is>
          <t>2025-02</t>
        </is>
      </c>
    </row>
    <row r="1158">
      <c r="A1158" s="16" t="n">
        <v>45097</v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B</t>
        </is>
      </c>
      <c r="G1158" t="inlineStr">
        <is>
          <t>Wholesale</t>
        </is>
      </c>
      <c r="H1158" t="n">
        <v>0.05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n">
        <v/>
      </c>
      <c r="M1158" t="n">
        <v>0</v>
      </c>
      <c r="N1158" t="inlineStr">
        <is>
          <t>REG101156</t>
        </is>
      </c>
      <c r="O1158" t="inlineStr">
        <is>
          <t>Cust 6476</t>
        </is>
      </c>
      <c r="P1158" t="n">
        <v>27.98</v>
      </c>
      <c r="Q1158" s="16" t="n">
        <v>45097</v>
      </c>
      <c r="R1158" s="16" t="n">
        <v>45102</v>
      </c>
      <c r="S1158" t="inlineStr">
        <is>
          <t>Cameron</t>
        </is>
      </c>
      <c r="T1158" t="inlineStr">
        <is>
          <t>2023-06</t>
        </is>
      </c>
    </row>
    <row r="1159">
      <c r="A1159" s="16" t="n">
        <v>45351</v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C</t>
        </is>
      </c>
      <c r="G1159" t="inlineStr">
        <is>
          <t>Wholesale</t>
        </is>
      </c>
      <c r="H1159" t="n">
        <v>0.05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Cust 9835</t>
        </is>
      </c>
      <c r="P1159" t="n">
        <v>26.57</v>
      </c>
      <c r="Q1159" s="16" t="n">
        <v>45351</v>
      </c>
      <c r="R1159" s="16" t="n">
        <v>45354</v>
      </c>
      <c r="S1159" t="inlineStr">
        <is>
          <t>Wendy</t>
        </is>
      </c>
      <c r="T1159" t="inlineStr">
        <is>
          <t>2024-02</t>
        </is>
      </c>
    </row>
    <row r="1160">
      <c r="A1160" s="16" t="n">
        <v>45838</v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0.1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Cust 1003</t>
        </is>
      </c>
      <c r="P1160" t="n">
        <v>44.97</v>
      </c>
      <c r="Q1160" s="16" t="n">
        <v>45838</v>
      </c>
      <c r="R1160" s="16" t="n">
        <v>45843</v>
      </c>
      <c r="S1160" t="inlineStr">
        <is>
          <t>Ryan</t>
        </is>
      </c>
      <c r="T1160" t="inlineStr">
        <is>
          <t>2025-06</t>
        </is>
      </c>
    </row>
    <row r="1161">
      <c r="A1161" s="16" t="n">
        <v>45523</v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B</t>
        </is>
      </c>
      <c r="G1161" t="inlineStr">
        <is>
          <t>Retail</t>
        </is>
      </c>
      <c r="H1161" t="n">
        <v>0.1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Cust 9705</t>
        </is>
      </c>
      <c r="P1161" t="n">
        <v>17.62</v>
      </c>
      <c r="Q1161" s="16" t="n">
        <v>45523</v>
      </c>
      <c r="R1161" s="16" t="n">
        <v>45529</v>
      </c>
      <c r="S1161" t="inlineStr">
        <is>
          <t>Ryan</t>
        </is>
      </c>
      <c r="T1161" t="inlineStr">
        <is>
          <t>2024-08</t>
        </is>
      </c>
    </row>
    <row r="1162">
      <c r="A1162" s="16" t="n">
        <v>45306</v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D</t>
        </is>
      </c>
      <c r="G1162" t="inlineStr">
        <is>
          <t>Retail</t>
        </is>
      </c>
      <c r="H1162" t="n">
        <v>0.1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Cust 3421</t>
        </is>
      </c>
      <c r="P1162" t="n">
        <v>29.6</v>
      </c>
      <c r="Q1162" s="16" t="n">
        <v>45306</v>
      </c>
      <c r="R1162" s="16" t="n">
        <v>45310</v>
      </c>
      <c r="S1162" t="inlineStr">
        <is>
          <t>Cameron</t>
        </is>
      </c>
      <c r="T1162" t="inlineStr">
        <is>
          <t>2024-01</t>
        </is>
      </c>
    </row>
    <row r="1163">
      <c r="A1163" s="16" t="n">
        <v>45512</v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B</t>
        </is>
      </c>
      <c r="G1163" t="inlineStr">
        <is>
          <t>Wholesale</t>
        </is>
      </c>
      <c r="H1163" t="n">
        <v>0.15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Cust 1690</t>
        </is>
      </c>
      <c r="P1163" t="n">
        <v>20.12</v>
      </c>
      <c r="Q1163" s="16" t="n">
        <v>45512</v>
      </c>
      <c r="R1163" s="16" t="n">
        <v>45515</v>
      </c>
      <c r="S1163" t="inlineStr">
        <is>
          <t>Cameron</t>
        </is>
      </c>
      <c r="T1163" t="inlineStr">
        <is>
          <t>2024-08</t>
        </is>
      </c>
    </row>
    <row r="1164">
      <c r="A1164" s="16" t="n">
        <v>45570</v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C</t>
        </is>
      </c>
      <c r="G1164" t="inlineStr">
        <is>
          <t>Retail</t>
        </is>
      </c>
      <c r="H1164" t="n">
        <v>0.1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n">
        <v/>
      </c>
      <c r="M1164" t="n">
        <v>0</v>
      </c>
      <c r="N1164" t="inlineStr">
        <is>
          <t>REG101162</t>
        </is>
      </c>
      <c r="O1164" t="inlineStr">
        <is>
          <t>Cust 2507</t>
        </is>
      </c>
      <c r="P1164" t="n">
        <v>27.82</v>
      </c>
      <c r="Q1164" s="16" t="n">
        <v>45570</v>
      </c>
      <c r="R1164" s="16" t="n">
        <v>45572</v>
      </c>
      <c r="S1164" t="inlineStr">
        <is>
          <t>Wendy</t>
        </is>
      </c>
      <c r="T1164" t="inlineStr">
        <is>
          <t>2024-10</t>
        </is>
      </c>
    </row>
    <row r="1165">
      <c r="A1165" s="16" t="n">
        <v>45304</v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Cust 9880</t>
        </is>
      </c>
      <c r="P1165" t="n">
        <v>48.11</v>
      </c>
      <c r="Q1165" s="16" t="n">
        <v>45304</v>
      </c>
      <c r="R1165" s="16" t="n">
        <v>45312</v>
      </c>
      <c r="S1165" t="inlineStr">
        <is>
          <t>Sophie</t>
        </is>
      </c>
      <c r="T1165" t="inlineStr">
        <is>
          <t>2024-01</t>
        </is>
      </c>
    </row>
    <row r="1166">
      <c r="A1166" s="16" t="n">
        <v>45014</v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B</t>
        </is>
      </c>
      <c r="G1166" t="inlineStr">
        <is>
          <t>Wholesale</t>
        </is>
      </c>
      <c r="H1166" t="n">
        <v>0.05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n">
        <v/>
      </c>
      <c r="M1166" t="n">
        <v>0</v>
      </c>
      <c r="N1166" t="inlineStr">
        <is>
          <t>REG101164</t>
        </is>
      </c>
      <c r="O1166" t="inlineStr">
        <is>
          <t>Cust 3972</t>
        </is>
      </c>
      <c r="P1166" t="n">
        <v>36.35</v>
      </c>
      <c r="Q1166" s="16" t="n">
        <v>45014</v>
      </c>
      <c r="R1166" s="16" t="n">
        <v>45020</v>
      </c>
      <c r="S1166" t="inlineStr">
        <is>
          <t>Wendy</t>
        </is>
      </c>
      <c r="T1166" t="inlineStr">
        <is>
          <t>2023-03</t>
        </is>
      </c>
    </row>
    <row r="1167">
      <c r="A1167" s="16" t="n">
        <v>45218</v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D</t>
        </is>
      </c>
      <c r="G1167" t="inlineStr">
        <is>
          <t>Retail</t>
        </is>
      </c>
      <c r="H1167" t="n">
        <v>0.1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n">
        <v/>
      </c>
      <c r="M1167" t="n">
        <v>1</v>
      </c>
      <c r="N1167" t="inlineStr">
        <is>
          <t>REG101165</t>
        </is>
      </c>
      <c r="O1167" t="inlineStr">
        <is>
          <t>Cust 8280</t>
        </is>
      </c>
      <c r="P1167" t="n">
        <v>7.46</v>
      </c>
      <c r="Q1167" s="16" t="n">
        <v>45218</v>
      </c>
      <c r="R1167" s="16" t="n">
        <v>45222</v>
      </c>
      <c r="S1167" t="inlineStr">
        <is>
          <t>Ryan</t>
        </is>
      </c>
      <c r="T1167" t="inlineStr">
        <is>
          <t>2023-10</t>
        </is>
      </c>
    </row>
    <row r="1168">
      <c r="A1168" s="16" t="n">
        <v>45222</v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C</t>
        </is>
      </c>
      <c r="G1168" t="inlineStr">
        <is>
          <t>Wholesale</t>
        </is>
      </c>
      <c r="H1168" t="n">
        <v>0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Cust 4205</t>
        </is>
      </c>
      <c r="P1168" t="n">
        <v>47.23</v>
      </c>
      <c r="Q1168" s="16" t="n">
        <v>45222</v>
      </c>
      <c r="R1168" s="16" t="n">
        <v>45231</v>
      </c>
      <c r="S1168" t="inlineStr">
        <is>
          <t>Wendy</t>
        </is>
      </c>
      <c r="T1168" t="inlineStr">
        <is>
          <t>2023-10</t>
        </is>
      </c>
    </row>
    <row r="1169">
      <c r="A1169" s="16" t="n">
        <v>45009</v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B</t>
        </is>
      </c>
      <c r="G1169" t="inlineStr">
        <is>
          <t>Retail</t>
        </is>
      </c>
      <c r="H1169" t="n">
        <v>0.05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Cust 2579</t>
        </is>
      </c>
      <c r="P1169" t="n">
        <v>31.43</v>
      </c>
      <c r="Q1169" s="16" t="n">
        <v>45009</v>
      </c>
      <c r="R1169" s="16" t="n">
        <v>45013</v>
      </c>
      <c r="S1169" t="inlineStr">
        <is>
          <t>Sophie</t>
        </is>
      </c>
      <c r="T1169" t="inlineStr">
        <is>
          <t>2023-03</t>
        </is>
      </c>
    </row>
    <row r="1170">
      <c r="A1170" s="16" t="n">
        <v>45513</v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0.15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Cust 7265</t>
        </is>
      </c>
      <c r="P1170" t="n">
        <v>10.79</v>
      </c>
      <c r="Q1170" s="16" t="n">
        <v>45513</v>
      </c>
      <c r="R1170" s="16" t="n">
        <v>45518</v>
      </c>
      <c r="S1170" t="inlineStr">
        <is>
          <t>Wendy</t>
        </is>
      </c>
      <c r="T1170" t="inlineStr">
        <is>
          <t>2024-08</t>
        </is>
      </c>
    </row>
    <row r="1171">
      <c r="A1171" s="16" t="n">
        <v>45042</v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A</t>
        </is>
      </c>
      <c r="G1171" t="inlineStr">
        <is>
          <t>Wholesale</t>
        </is>
      </c>
      <c r="H1171" t="n">
        <v>0.1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Cust 1199</t>
        </is>
      </c>
      <c r="P1171" t="n">
        <v>48.33</v>
      </c>
      <c r="Q1171" s="16" t="n">
        <v>45042</v>
      </c>
      <c r="R1171" s="16" t="n">
        <v>45052</v>
      </c>
      <c r="S1171" t="inlineStr">
        <is>
          <t>Sophie</t>
        </is>
      </c>
      <c r="T1171" t="inlineStr">
        <is>
          <t>2023-04</t>
        </is>
      </c>
    </row>
    <row r="1172">
      <c r="A1172" s="16" t="n">
        <v>45355</v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B</t>
        </is>
      </c>
      <c r="G1172" t="inlineStr">
        <is>
          <t>Retail</t>
        </is>
      </c>
      <c r="H1172" t="n">
        <v>0.05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Cust 2928</t>
        </is>
      </c>
      <c r="P1172" t="n">
        <v>45.97</v>
      </c>
      <c r="Q1172" s="16" t="n">
        <v>45355</v>
      </c>
      <c r="R1172" s="16" t="n">
        <v>45363</v>
      </c>
      <c r="S1172" t="inlineStr">
        <is>
          <t>Wendy</t>
        </is>
      </c>
      <c r="T1172" t="inlineStr">
        <is>
          <t>2024-03</t>
        </is>
      </c>
    </row>
    <row r="1173">
      <c r="A1173" s="16" t="n">
        <v>44971</v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A</t>
        </is>
      </c>
      <c r="G1173" t="inlineStr">
        <is>
          <t>Retail</t>
        </is>
      </c>
      <c r="H1173" t="n">
        <v>0.15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Cust 9447</t>
        </is>
      </c>
      <c r="P1173" t="n">
        <v>47.56</v>
      </c>
      <c r="Q1173" s="16" t="n">
        <v>44971</v>
      </c>
      <c r="R1173" s="16" t="n">
        <v>44974</v>
      </c>
      <c r="S1173" t="inlineStr">
        <is>
          <t>Eric</t>
        </is>
      </c>
      <c r="T1173" t="inlineStr">
        <is>
          <t>2023-02</t>
        </is>
      </c>
    </row>
    <row r="1174">
      <c r="A1174" s="16" t="n">
        <v>45044</v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0.05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Cust 9095</t>
        </is>
      </c>
      <c r="P1174" t="n">
        <v>10.2</v>
      </c>
      <c r="Q1174" s="16" t="n">
        <v>45044</v>
      </c>
      <c r="R1174" s="16" t="n">
        <v>45049</v>
      </c>
      <c r="S1174" t="inlineStr">
        <is>
          <t>Wendy</t>
        </is>
      </c>
      <c r="T1174" t="inlineStr">
        <is>
          <t>2023-04</t>
        </is>
      </c>
    </row>
    <row r="1175">
      <c r="A1175" s="16" t="n">
        <v>45354</v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0.15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Cust 7587</t>
        </is>
      </c>
      <c r="P1175" t="n">
        <v>20.18</v>
      </c>
      <c r="Q1175" s="16" t="n">
        <v>45354</v>
      </c>
      <c r="R1175" s="16" t="n">
        <v>45362</v>
      </c>
      <c r="S1175" t="inlineStr">
        <is>
          <t>Ryan</t>
        </is>
      </c>
      <c r="T1175" t="inlineStr">
        <is>
          <t>2024-03</t>
        </is>
      </c>
    </row>
    <row r="1176">
      <c r="A1176" s="16" t="n">
        <v>45539</v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D</t>
        </is>
      </c>
      <c r="G1176" t="inlineStr">
        <is>
          <t>Retail</t>
        </is>
      </c>
      <c r="H1176" t="n">
        <v>0.15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Cust 2611</t>
        </is>
      </c>
      <c r="P1176" t="n">
        <v>45.79</v>
      </c>
      <c r="Q1176" s="16" t="n">
        <v>45539</v>
      </c>
      <c r="R1176" s="16" t="n">
        <v>45543</v>
      </c>
      <c r="S1176" t="inlineStr">
        <is>
          <t>Wendy</t>
        </is>
      </c>
      <c r="T1176" t="inlineStr">
        <is>
          <t>2024-09</t>
        </is>
      </c>
    </row>
    <row r="1177">
      <c r="A1177" s="16" t="n">
        <v>45656</v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B</t>
        </is>
      </c>
      <c r="G1177" t="inlineStr">
        <is>
          <t>Wholesale</t>
        </is>
      </c>
      <c r="H1177" t="n">
        <v>0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Cust 8284</t>
        </is>
      </c>
      <c r="P1177" t="n">
        <v>27.43</v>
      </c>
      <c r="Q1177" s="16" t="n">
        <v>45656</v>
      </c>
      <c r="R1177" s="16" t="n">
        <v>45664</v>
      </c>
      <c r="S1177" t="inlineStr">
        <is>
          <t>Eric</t>
        </is>
      </c>
      <c r="T1177" t="inlineStr">
        <is>
          <t>2024-12</t>
        </is>
      </c>
    </row>
    <row r="1178">
      <c r="A1178" s="16" t="n">
        <v>45332</v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A</t>
        </is>
      </c>
      <c r="G1178" t="inlineStr">
        <is>
          <t>Wholesale</t>
        </is>
      </c>
      <c r="H1178" t="n">
        <v>0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Cust 8154</t>
        </is>
      </c>
      <c r="P1178" t="n">
        <v>9.619999999999999</v>
      </c>
      <c r="Q1178" s="16" t="n">
        <v>45332</v>
      </c>
      <c r="R1178" s="16" t="n">
        <v>45338</v>
      </c>
      <c r="S1178" t="inlineStr">
        <is>
          <t>Eric</t>
        </is>
      </c>
      <c r="T1178" t="inlineStr">
        <is>
          <t>2024-02</t>
        </is>
      </c>
    </row>
    <row r="1179">
      <c r="A1179" s="16" t="n">
        <v>45176</v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C</t>
        </is>
      </c>
      <c r="G1179" t="inlineStr">
        <is>
          <t>Wholesale</t>
        </is>
      </c>
      <c r="H1179" t="n">
        <v>0.15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Cust 5215</t>
        </is>
      </c>
      <c r="P1179" t="n">
        <v>17.53</v>
      </c>
      <c r="Q1179" s="16" t="n">
        <v>45176</v>
      </c>
      <c r="R1179" s="16" t="n">
        <v>45184</v>
      </c>
      <c r="S1179" t="inlineStr">
        <is>
          <t>Cameron</t>
        </is>
      </c>
      <c r="T1179" t="inlineStr">
        <is>
          <t>2023-09</t>
        </is>
      </c>
    </row>
    <row r="1180">
      <c r="A1180" s="16" t="n">
        <v>45149</v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A</t>
        </is>
      </c>
      <c r="G1180" t="inlineStr">
        <is>
          <t>Wholesale</t>
        </is>
      </c>
      <c r="H1180" t="n">
        <v>0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Cust 5309</t>
        </is>
      </c>
      <c r="P1180" t="n">
        <v>14.88</v>
      </c>
      <c r="Q1180" s="16" t="n">
        <v>45149</v>
      </c>
      <c r="R1180" s="16" t="n">
        <v>45153</v>
      </c>
      <c r="S1180" t="inlineStr">
        <is>
          <t>Eric</t>
        </is>
      </c>
      <c r="T1180" t="inlineStr">
        <is>
          <t>2023-08</t>
        </is>
      </c>
    </row>
    <row r="1181">
      <c r="A1181" s="16" t="n">
        <v>44997</v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A</t>
        </is>
      </c>
      <c r="G1181" t="inlineStr">
        <is>
          <t>Wholesale</t>
        </is>
      </c>
      <c r="H1181" t="n">
        <v>0.1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Cust 2016</t>
        </is>
      </c>
      <c r="P1181" t="n">
        <v>47.84</v>
      </c>
      <c r="Q1181" s="16" t="n">
        <v>44997</v>
      </c>
      <c r="R1181" s="16" t="n">
        <v>45001</v>
      </c>
      <c r="S1181" t="inlineStr">
        <is>
          <t>Wendy</t>
        </is>
      </c>
      <c r="T1181" t="inlineStr">
        <is>
          <t>2023-03</t>
        </is>
      </c>
    </row>
    <row r="1182">
      <c r="A1182" s="16" t="n">
        <v>45014</v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0.1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Cust 2676</t>
        </is>
      </c>
      <c r="P1182" t="n">
        <v>22.15</v>
      </c>
      <c r="Q1182" s="16" t="n">
        <v>45014</v>
      </c>
      <c r="R1182" s="16" t="n">
        <v>45016</v>
      </c>
      <c r="S1182" t="inlineStr">
        <is>
          <t>Cameron</t>
        </is>
      </c>
      <c r="T1182" t="inlineStr">
        <is>
          <t>2023-03</t>
        </is>
      </c>
    </row>
    <row r="1183">
      <c r="A1183" s="16" t="n">
        <v>45705</v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B</t>
        </is>
      </c>
      <c r="G1183" t="inlineStr">
        <is>
          <t>Retail</t>
        </is>
      </c>
      <c r="H1183" t="n">
        <v>0.05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Cust 7529</t>
        </is>
      </c>
      <c r="P1183" t="n">
        <v>32.83</v>
      </c>
      <c r="Q1183" s="16" t="n">
        <v>45705</v>
      </c>
      <c r="R1183" s="16" t="n">
        <v>45715</v>
      </c>
      <c r="S1183" t="inlineStr">
        <is>
          <t>Sophie</t>
        </is>
      </c>
      <c r="T1183" t="inlineStr">
        <is>
          <t>2025-02</t>
        </is>
      </c>
    </row>
    <row r="1184">
      <c r="A1184" s="16" t="n">
        <v>45298</v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C</t>
        </is>
      </c>
      <c r="G1184" t="inlineStr">
        <is>
          <t>Wholesale</t>
        </is>
      </c>
      <c r="H1184" t="n">
        <v>0.05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n">
        <v/>
      </c>
      <c r="M1184" t="n">
        <v>0</v>
      </c>
      <c r="N1184" t="inlineStr">
        <is>
          <t>REG101182</t>
        </is>
      </c>
      <c r="O1184" t="inlineStr">
        <is>
          <t>Cust 6172</t>
        </is>
      </c>
      <c r="P1184" t="n">
        <v>10.19</v>
      </c>
      <c r="Q1184" s="16" t="n">
        <v>45298</v>
      </c>
      <c r="R1184" s="16" t="n">
        <v>45306</v>
      </c>
      <c r="S1184" t="inlineStr">
        <is>
          <t>Ryan</t>
        </is>
      </c>
      <c r="T1184" t="inlineStr">
        <is>
          <t>2024-01</t>
        </is>
      </c>
    </row>
    <row r="1185">
      <c r="A1185" s="16" t="n">
        <v>44940</v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A</t>
        </is>
      </c>
      <c r="G1185" t="inlineStr">
        <is>
          <t>Wholesale</t>
        </is>
      </c>
      <c r="H1185" t="n">
        <v>0.1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Cust 2527</t>
        </is>
      </c>
      <c r="P1185" t="n">
        <v>36.89</v>
      </c>
      <c r="Q1185" s="16" t="n">
        <v>44940</v>
      </c>
      <c r="R1185" s="16" t="n">
        <v>44946</v>
      </c>
      <c r="S1185" t="inlineStr">
        <is>
          <t>Eric</t>
        </is>
      </c>
      <c r="T1185" t="inlineStr">
        <is>
          <t>2023-01</t>
        </is>
      </c>
    </row>
    <row r="1186">
      <c r="A1186" s="16" t="n">
        <v>45294</v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A</t>
        </is>
      </c>
      <c r="G1186" t="inlineStr">
        <is>
          <t>Wholesale</t>
        </is>
      </c>
      <c r="H1186" t="n">
        <v>0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Cust 1970</t>
        </is>
      </c>
      <c r="P1186" t="n">
        <v>7.76</v>
      </c>
      <c r="Q1186" s="16" t="n">
        <v>45294</v>
      </c>
      <c r="R1186" s="16" t="n">
        <v>45303</v>
      </c>
      <c r="S1186" t="inlineStr">
        <is>
          <t>Wendy</t>
        </is>
      </c>
      <c r="T1186" t="inlineStr">
        <is>
          <t>2024-01</t>
        </is>
      </c>
    </row>
    <row r="1187">
      <c r="A1187" s="16" t="n">
        <v>45163</v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0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Cust 9543</t>
        </is>
      </c>
      <c r="P1187" t="n">
        <v>39.89</v>
      </c>
      <c r="Q1187" s="16" t="n">
        <v>45163</v>
      </c>
      <c r="R1187" s="16" t="n">
        <v>45166</v>
      </c>
      <c r="S1187" t="inlineStr">
        <is>
          <t>Sophie</t>
        </is>
      </c>
      <c r="T1187" t="inlineStr">
        <is>
          <t>2023-08</t>
        </is>
      </c>
    </row>
    <row r="1188">
      <c r="A1188" s="16" t="n">
        <v>45793</v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A</t>
        </is>
      </c>
      <c r="G1188" t="inlineStr">
        <is>
          <t>Wholesale</t>
        </is>
      </c>
      <c r="H1188" t="n">
        <v>0.15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Cust 2957</t>
        </is>
      </c>
      <c r="P1188" t="n">
        <v>49.37</v>
      </c>
      <c r="Q1188" s="16" t="n">
        <v>45793</v>
      </c>
      <c r="R1188" s="16" t="n">
        <v>45802</v>
      </c>
      <c r="S1188" t="inlineStr">
        <is>
          <t>Ryan</t>
        </is>
      </c>
      <c r="T1188" t="inlineStr">
        <is>
          <t>2025-05</t>
        </is>
      </c>
    </row>
    <row r="1189">
      <c r="A1189" s="16" t="n">
        <v>45290</v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0.05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Cust 2852</t>
        </is>
      </c>
      <c r="P1189" t="n">
        <v>41.56</v>
      </c>
      <c r="Q1189" s="16" t="n">
        <v>45290</v>
      </c>
      <c r="R1189" s="16" t="n">
        <v>45294</v>
      </c>
      <c r="S1189" t="inlineStr">
        <is>
          <t>Sophie</t>
        </is>
      </c>
      <c r="T1189" t="inlineStr">
        <is>
          <t>2023-12</t>
        </is>
      </c>
    </row>
    <row r="1190">
      <c r="A1190" s="16" t="n">
        <v>45571</v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A</t>
        </is>
      </c>
      <c r="G1190" t="inlineStr">
        <is>
          <t>Retail</t>
        </is>
      </c>
      <c r="H1190" t="n">
        <v>0.05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Cust 6365</t>
        </is>
      </c>
      <c r="P1190" t="n">
        <v>18.01</v>
      </c>
      <c r="Q1190" s="16" t="n">
        <v>45571</v>
      </c>
      <c r="R1190" s="16" t="n">
        <v>45574</v>
      </c>
      <c r="S1190" t="inlineStr">
        <is>
          <t>Sophie</t>
        </is>
      </c>
      <c r="T1190" t="inlineStr">
        <is>
          <t>2024-10</t>
        </is>
      </c>
    </row>
    <row r="1191">
      <c r="A1191" s="16" t="n">
        <v>44997</v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D</t>
        </is>
      </c>
      <c r="G1191" t="inlineStr">
        <is>
          <t>Wholesale</t>
        </is>
      </c>
      <c r="H1191" t="n">
        <v>0.15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Cust 9159</t>
        </is>
      </c>
      <c r="P1191" t="n">
        <v>32.74</v>
      </c>
      <c r="Q1191" s="16" t="n">
        <v>44997</v>
      </c>
      <c r="R1191" s="16" t="n">
        <v>45007</v>
      </c>
      <c r="S1191" t="inlineStr">
        <is>
          <t>Cameron</t>
        </is>
      </c>
      <c r="T1191" t="inlineStr">
        <is>
          <t>2023-03</t>
        </is>
      </c>
    </row>
    <row r="1192">
      <c r="A1192" s="16" t="n">
        <v>45388</v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D</t>
        </is>
      </c>
      <c r="G1192" t="inlineStr">
        <is>
          <t>Wholesale</t>
        </is>
      </c>
      <c r="H1192" t="n">
        <v>0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Cust 3252</t>
        </is>
      </c>
      <c r="P1192" t="n">
        <v>12.97</v>
      </c>
      <c r="Q1192" s="16" t="n">
        <v>45388</v>
      </c>
      <c r="R1192" s="16" t="n">
        <v>45390</v>
      </c>
      <c r="S1192" t="inlineStr">
        <is>
          <t>Ryan</t>
        </is>
      </c>
      <c r="T1192" t="inlineStr">
        <is>
          <t>2024-04</t>
        </is>
      </c>
    </row>
    <row r="1193">
      <c r="A1193" s="16" t="n">
        <v>44946</v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B</t>
        </is>
      </c>
      <c r="G1193" t="inlineStr">
        <is>
          <t>Retail</t>
        </is>
      </c>
      <c r="H1193" t="n">
        <v>0.05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Cust 8679</t>
        </is>
      </c>
      <c r="P1193" t="n">
        <v>20.05</v>
      </c>
      <c r="Q1193" s="16" t="n">
        <v>44946</v>
      </c>
      <c r="R1193" s="16" t="n">
        <v>44951</v>
      </c>
      <c r="S1193" t="inlineStr">
        <is>
          <t>Ryan</t>
        </is>
      </c>
      <c r="T1193" t="inlineStr">
        <is>
          <t>2023-01</t>
        </is>
      </c>
    </row>
    <row r="1194">
      <c r="A1194" s="16" t="n">
        <v>45481</v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B</t>
        </is>
      </c>
      <c r="G1194" t="inlineStr">
        <is>
          <t>Wholesale</t>
        </is>
      </c>
      <c r="H1194" t="n">
        <v>0.05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n">
        <v/>
      </c>
      <c r="M1194" t="n">
        <v>0</v>
      </c>
      <c r="N1194" t="inlineStr">
        <is>
          <t>REG101192</t>
        </is>
      </c>
      <c r="O1194" t="inlineStr">
        <is>
          <t>Cust 5547</t>
        </is>
      </c>
      <c r="P1194" t="n">
        <v>20.87</v>
      </c>
      <c r="Q1194" s="16" t="n">
        <v>45481</v>
      </c>
      <c r="R1194" s="16" t="n">
        <v>45485</v>
      </c>
      <c r="S1194" t="inlineStr">
        <is>
          <t>Wendy</t>
        </is>
      </c>
      <c r="T1194" t="inlineStr">
        <is>
          <t>2024-07</t>
        </is>
      </c>
    </row>
    <row r="1195">
      <c r="A1195" s="16" t="n">
        <v>45205</v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A</t>
        </is>
      </c>
      <c r="G1195" t="inlineStr">
        <is>
          <t>Retail</t>
        </is>
      </c>
      <c r="H1195" t="n">
        <v>0.05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n">
        <v/>
      </c>
      <c r="M1195" t="n">
        <v>0</v>
      </c>
      <c r="N1195" t="inlineStr">
        <is>
          <t>REG101193</t>
        </is>
      </c>
      <c r="O1195" t="inlineStr">
        <is>
          <t>Cust 9438</t>
        </is>
      </c>
      <c r="P1195" t="n">
        <v>26.66</v>
      </c>
      <c r="Q1195" s="16" t="n">
        <v>45205</v>
      </c>
      <c r="R1195" s="16" t="n">
        <v>45215</v>
      </c>
      <c r="S1195" t="inlineStr">
        <is>
          <t>Ryan</t>
        </is>
      </c>
      <c r="T1195" t="inlineStr">
        <is>
          <t>2023-10</t>
        </is>
      </c>
    </row>
    <row r="1196">
      <c r="A1196" s="16" t="n">
        <v>45180</v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D</t>
        </is>
      </c>
      <c r="G1196" t="inlineStr">
        <is>
          <t>Wholesale</t>
        </is>
      </c>
      <c r="H1196" t="n">
        <v>0.1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Cust 9092</t>
        </is>
      </c>
      <c r="P1196" t="n">
        <v>36.67</v>
      </c>
      <c r="Q1196" s="16" t="n">
        <v>45180</v>
      </c>
      <c r="R1196" s="16" t="n">
        <v>45187</v>
      </c>
      <c r="S1196" t="inlineStr">
        <is>
          <t>Eric</t>
        </is>
      </c>
      <c r="T1196" t="inlineStr">
        <is>
          <t>2023-09</t>
        </is>
      </c>
    </row>
    <row r="1197">
      <c r="A1197" s="16" t="n">
        <v>45183</v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C</t>
        </is>
      </c>
      <c r="G1197" t="inlineStr">
        <is>
          <t>Retail</t>
        </is>
      </c>
      <c r="H1197" t="n">
        <v>0.15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Cust 7007</t>
        </is>
      </c>
      <c r="P1197" t="n">
        <v>12.95</v>
      </c>
      <c r="Q1197" s="16" t="n">
        <v>45183</v>
      </c>
      <c r="R1197" s="16" t="n">
        <v>45188</v>
      </c>
      <c r="S1197" t="inlineStr">
        <is>
          <t>Ryan</t>
        </is>
      </c>
      <c r="T1197" t="inlineStr">
        <is>
          <t>2023-09</t>
        </is>
      </c>
    </row>
    <row r="1198">
      <c r="A1198" s="16" t="n">
        <v>45236</v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B</t>
        </is>
      </c>
      <c r="G1198" t="inlineStr">
        <is>
          <t>Wholesale</t>
        </is>
      </c>
      <c r="H1198" t="n">
        <v>0.15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n">
        <v/>
      </c>
      <c r="M1198" t="n">
        <v>0</v>
      </c>
      <c r="N1198" t="inlineStr">
        <is>
          <t>REG101196</t>
        </is>
      </c>
      <c r="O1198" t="inlineStr">
        <is>
          <t>Cust 3001</t>
        </is>
      </c>
      <c r="P1198" t="n">
        <v>43.85</v>
      </c>
      <c r="Q1198" s="16" t="n">
        <v>45236</v>
      </c>
      <c r="R1198" s="16" t="n">
        <v>45241</v>
      </c>
      <c r="S1198" t="inlineStr">
        <is>
          <t>Ryan</t>
        </is>
      </c>
      <c r="T1198" t="inlineStr">
        <is>
          <t>2023-11</t>
        </is>
      </c>
    </row>
    <row r="1199">
      <c r="A1199" s="16" t="n">
        <v>45466</v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C</t>
        </is>
      </c>
      <c r="G1199" t="inlineStr">
        <is>
          <t>Wholesale</t>
        </is>
      </c>
      <c r="H1199" t="n">
        <v>0.15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Cust 5771</t>
        </is>
      </c>
      <c r="P1199" t="n">
        <v>6.71</v>
      </c>
      <c r="Q1199" s="16" t="n">
        <v>45466</v>
      </c>
      <c r="R1199" s="16" t="n">
        <v>45473</v>
      </c>
      <c r="S1199" t="inlineStr">
        <is>
          <t>Ryan</t>
        </is>
      </c>
      <c r="T1199" t="inlineStr">
        <is>
          <t>2024-06</t>
        </is>
      </c>
    </row>
    <row r="1200">
      <c r="A1200" s="16" t="n">
        <v>45015</v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B</t>
        </is>
      </c>
      <c r="G1200" t="inlineStr">
        <is>
          <t>Wholesale</t>
        </is>
      </c>
      <c r="H1200" t="n">
        <v>0.1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Cust 4317</t>
        </is>
      </c>
      <c r="P1200" t="n">
        <v>14.01</v>
      </c>
      <c r="Q1200" s="16" t="n">
        <v>45015</v>
      </c>
      <c r="R1200" s="16" t="n">
        <v>45025</v>
      </c>
      <c r="S1200" t="inlineStr">
        <is>
          <t>Wendy</t>
        </is>
      </c>
      <c r="T1200" t="inlineStr">
        <is>
          <t>2023-03</t>
        </is>
      </c>
    </row>
    <row r="1201">
      <c r="A1201" s="16" t="n">
        <v>45570</v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A</t>
        </is>
      </c>
      <c r="G1201" t="inlineStr">
        <is>
          <t>Retail</t>
        </is>
      </c>
      <c r="H1201" t="n">
        <v>0.1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Cust 3627</t>
        </is>
      </c>
      <c r="P1201" t="n">
        <v>43.67</v>
      </c>
      <c r="Q1201" s="16" t="n">
        <v>45570</v>
      </c>
      <c r="R1201" s="16" t="n">
        <v>45580</v>
      </c>
      <c r="S1201" t="inlineStr">
        <is>
          <t>Eric</t>
        </is>
      </c>
      <c r="T1201" t="inlineStr">
        <is>
          <t>2024-10</t>
        </is>
      </c>
    </row>
    <row r="1202">
      <c r="A1202" s="16" t="n">
        <v>45004</v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D</t>
        </is>
      </c>
      <c r="G1202" t="inlineStr">
        <is>
          <t>Retail</t>
        </is>
      </c>
      <c r="H1202" t="n">
        <v>0.15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Cust 4433</t>
        </is>
      </c>
      <c r="P1202" t="n">
        <v>40.23</v>
      </c>
      <c r="Q1202" s="16" t="n">
        <v>45004</v>
      </c>
      <c r="R1202" s="16" t="n">
        <v>45014</v>
      </c>
      <c r="S1202" t="inlineStr">
        <is>
          <t>Cameron</t>
        </is>
      </c>
      <c r="T1202" t="inlineStr">
        <is>
          <t>2023-03</t>
        </is>
      </c>
    </row>
    <row r="1203">
      <c r="A1203" s="16" t="n">
        <v>45733</v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0.05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Cust 6231</t>
        </is>
      </c>
      <c r="P1203" t="n">
        <v>31.43</v>
      </c>
      <c r="Q1203" s="16" t="n">
        <v>45733</v>
      </c>
      <c r="R1203" s="16" t="n">
        <v>45737</v>
      </c>
      <c r="S1203" t="inlineStr">
        <is>
          <t>Ryan</t>
        </is>
      </c>
      <c r="T1203" t="inlineStr">
        <is>
          <t>2025-03</t>
        </is>
      </c>
    </row>
    <row r="1204">
      <c r="A1204" s="16" t="n">
        <v>45644</v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0.15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Cust 8987</t>
        </is>
      </c>
      <c r="P1204" t="n">
        <v>8.19</v>
      </c>
      <c r="Q1204" s="16" t="n">
        <v>45644</v>
      </c>
      <c r="R1204" s="16" t="n">
        <v>45654</v>
      </c>
      <c r="S1204" t="inlineStr">
        <is>
          <t>Cameron</t>
        </is>
      </c>
      <c r="T1204" t="inlineStr">
        <is>
          <t>2024-12</t>
        </is>
      </c>
    </row>
    <row r="1205">
      <c r="A1205" s="16" t="n">
        <v>45663</v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D</t>
        </is>
      </c>
      <c r="G1205" t="inlineStr">
        <is>
          <t>Retail</t>
        </is>
      </c>
      <c r="H1205" t="n">
        <v>0.15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Cust 4510</t>
        </is>
      </c>
      <c r="P1205" t="n">
        <v>24.28</v>
      </c>
      <c r="Q1205" s="16" t="n">
        <v>45663</v>
      </c>
      <c r="R1205" s="16" t="n">
        <v>45665</v>
      </c>
      <c r="S1205" t="inlineStr">
        <is>
          <t>Wendy</t>
        </is>
      </c>
      <c r="T1205" t="inlineStr">
        <is>
          <t>2025-01</t>
        </is>
      </c>
    </row>
    <row r="1206">
      <c r="A1206" s="16" t="n">
        <v>45671</v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B</t>
        </is>
      </c>
      <c r="G1206" t="inlineStr">
        <is>
          <t>Wholesale</t>
        </is>
      </c>
      <c r="H1206" t="n">
        <v>0.05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Cust 7003</t>
        </is>
      </c>
      <c r="P1206" t="n">
        <v>19.18</v>
      </c>
      <c r="Q1206" s="16" t="n">
        <v>45671</v>
      </c>
      <c r="R1206" s="16" t="n">
        <v>45677</v>
      </c>
      <c r="S1206" t="inlineStr">
        <is>
          <t>Cameron</t>
        </is>
      </c>
      <c r="T1206" t="inlineStr">
        <is>
          <t>2025-01</t>
        </is>
      </c>
    </row>
    <row r="1207">
      <c r="A1207" s="16" t="n">
        <v>44952</v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B</t>
        </is>
      </c>
      <c r="G1207" t="inlineStr">
        <is>
          <t>Wholesale</t>
        </is>
      </c>
      <c r="H1207" t="n">
        <v>0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Cust 6546</t>
        </is>
      </c>
      <c r="P1207" t="n">
        <v>36.11</v>
      </c>
      <c r="Q1207" s="16" t="n">
        <v>44952</v>
      </c>
      <c r="R1207" s="16" t="n">
        <v>44956</v>
      </c>
      <c r="S1207" t="inlineStr">
        <is>
          <t>Sophie</t>
        </is>
      </c>
      <c r="T1207" t="inlineStr">
        <is>
          <t>2023-01</t>
        </is>
      </c>
    </row>
    <row r="1208">
      <c r="A1208" s="16" t="n">
        <v>45508</v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0.05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Cust 2951</t>
        </is>
      </c>
      <c r="P1208" t="n">
        <v>42.56</v>
      </c>
      <c r="Q1208" s="16" t="n">
        <v>45508</v>
      </c>
      <c r="R1208" s="16" t="n">
        <v>45518</v>
      </c>
      <c r="S1208" t="inlineStr">
        <is>
          <t>Ryan</t>
        </is>
      </c>
      <c r="T1208" t="inlineStr">
        <is>
          <t>2024-08</t>
        </is>
      </c>
    </row>
    <row r="1209">
      <c r="A1209" s="16" t="n">
        <v>45335</v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0.15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Cust 4673</t>
        </is>
      </c>
      <c r="P1209" t="n">
        <v>38.53</v>
      </c>
      <c r="Q1209" s="16" t="n">
        <v>45335</v>
      </c>
      <c r="R1209" s="16" t="n">
        <v>45338</v>
      </c>
      <c r="S1209" t="inlineStr">
        <is>
          <t>Ryan</t>
        </is>
      </c>
      <c r="T1209" t="inlineStr">
        <is>
          <t>2024-02</t>
        </is>
      </c>
    </row>
    <row r="1210">
      <c r="A1210" s="16" t="n">
        <v>44968</v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D</t>
        </is>
      </c>
      <c r="G1210" t="inlineStr">
        <is>
          <t>Wholesale</t>
        </is>
      </c>
      <c r="H1210" t="n">
        <v>0.15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Cust 5988</t>
        </is>
      </c>
      <c r="P1210" t="n">
        <v>48.38</v>
      </c>
      <c r="Q1210" s="16" t="n">
        <v>44968</v>
      </c>
      <c r="R1210" s="16" t="n">
        <v>44971</v>
      </c>
      <c r="S1210" t="inlineStr">
        <is>
          <t>Cameron</t>
        </is>
      </c>
      <c r="T1210" t="inlineStr">
        <is>
          <t>2023-02</t>
        </is>
      </c>
    </row>
    <row r="1211">
      <c r="A1211" s="16" t="n">
        <v>45460</v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Cust 3922</t>
        </is>
      </c>
      <c r="P1211" t="n">
        <v>10.99</v>
      </c>
      <c r="Q1211" s="16" t="n">
        <v>45460</v>
      </c>
      <c r="R1211" s="16" t="n">
        <v>45465</v>
      </c>
      <c r="S1211" t="inlineStr">
        <is>
          <t>Eric</t>
        </is>
      </c>
      <c r="T1211" t="inlineStr">
        <is>
          <t>2024-06</t>
        </is>
      </c>
    </row>
    <row r="1212">
      <c r="A1212" s="16" t="n">
        <v>45449</v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A</t>
        </is>
      </c>
      <c r="G1212" t="inlineStr">
        <is>
          <t>Wholesale</t>
        </is>
      </c>
      <c r="H1212" t="n">
        <v>0.15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n">
        <v/>
      </c>
      <c r="M1212" t="n">
        <v>0</v>
      </c>
      <c r="N1212" t="inlineStr">
        <is>
          <t>REG101210</t>
        </is>
      </c>
      <c r="O1212" t="inlineStr">
        <is>
          <t>Cust 9853</t>
        </is>
      </c>
      <c r="P1212" t="n">
        <v>26.16</v>
      </c>
      <c r="Q1212" s="16" t="n">
        <v>45449</v>
      </c>
      <c r="R1212" s="16" t="n">
        <v>45455</v>
      </c>
      <c r="S1212" t="inlineStr">
        <is>
          <t>Sophie</t>
        </is>
      </c>
      <c r="T1212" t="inlineStr">
        <is>
          <t>2024-06</t>
        </is>
      </c>
    </row>
    <row r="1213">
      <c r="A1213" s="16" t="n">
        <v>45256</v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C</t>
        </is>
      </c>
      <c r="G1213" t="inlineStr">
        <is>
          <t>Wholesale</t>
        </is>
      </c>
      <c r="H1213" t="n">
        <v>0.05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n">
        <v/>
      </c>
      <c r="M1213" t="n">
        <v>0</v>
      </c>
      <c r="N1213" t="inlineStr">
        <is>
          <t>REG101211</t>
        </is>
      </c>
      <c r="O1213" t="inlineStr">
        <is>
          <t>Cust 6168</t>
        </is>
      </c>
      <c r="P1213" t="n">
        <v>47.67</v>
      </c>
      <c r="Q1213" s="16" t="n">
        <v>45256</v>
      </c>
      <c r="R1213" s="16" t="n">
        <v>45262</v>
      </c>
      <c r="S1213" t="inlineStr">
        <is>
          <t>Sophie</t>
        </is>
      </c>
      <c r="T1213" t="inlineStr">
        <is>
          <t>2023-11</t>
        </is>
      </c>
    </row>
    <row r="1214">
      <c r="A1214" s="16" t="n">
        <v>45389</v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0.15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n">
        <v/>
      </c>
      <c r="M1214" t="n">
        <v>0</v>
      </c>
      <c r="N1214" t="inlineStr">
        <is>
          <t>REG101212</t>
        </is>
      </c>
      <c r="O1214" t="inlineStr">
        <is>
          <t>Cust 3175</t>
        </is>
      </c>
      <c r="P1214" t="n">
        <v>42.15</v>
      </c>
      <c r="Q1214" s="16" t="n">
        <v>45389</v>
      </c>
      <c r="R1214" s="16" t="n">
        <v>45391</v>
      </c>
      <c r="S1214" t="inlineStr">
        <is>
          <t>Wendy</t>
        </is>
      </c>
      <c r="T1214" t="inlineStr">
        <is>
          <t>2024-04</t>
        </is>
      </c>
    </row>
    <row r="1215">
      <c r="A1215" s="16" t="n">
        <v>44960</v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B</t>
        </is>
      </c>
      <c r="G1215" t="inlineStr">
        <is>
          <t>Retail</t>
        </is>
      </c>
      <c r="H1215" t="n">
        <v>0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Cust 1813</t>
        </is>
      </c>
      <c r="P1215" t="n">
        <v>12.9</v>
      </c>
      <c r="Q1215" s="16" t="n">
        <v>44960</v>
      </c>
      <c r="R1215" s="16" t="n">
        <v>44966</v>
      </c>
      <c r="S1215" t="inlineStr">
        <is>
          <t>Wendy</t>
        </is>
      </c>
      <c r="T1215" t="inlineStr">
        <is>
          <t>2023-02</t>
        </is>
      </c>
    </row>
    <row r="1216">
      <c r="A1216" s="16" t="n">
        <v>45621</v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0.15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Cust 7749</t>
        </is>
      </c>
      <c r="P1216" t="n">
        <v>10.18</v>
      </c>
      <c r="Q1216" s="16" t="n">
        <v>45621</v>
      </c>
      <c r="R1216" s="16" t="n">
        <v>45626</v>
      </c>
      <c r="S1216" t="inlineStr">
        <is>
          <t>Eric</t>
        </is>
      </c>
      <c r="T1216" t="inlineStr">
        <is>
          <t>2024-11</t>
        </is>
      </c>
    </row>
    <row r="1217">
      <c r="A1217" s="16" t="n">
        <v>45473</v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D</t>
        </is>
      </c>
      <c r="G1217" t="inlineStr">
        <is>
          <t>Wholesale</t>
        </is>
      </c>
      <c r="H1217" t="n">
        <v>0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Cust 3416</t>
        </is>
      </c>
      <c r="P1217" t="n">
        <v>13.41</v>
      </c>
      <c r="Q1217" s="16" t="n">
        <v>45473</v>
      </c>
      <c r="R1217" s="16" t="n">
        <v>45476</v>
      </c>
      <c r="S1217" t="inlineStr">
        <is>
          <t>Ryan</t>
        </is>
      </c>
      <c r="T1217" t="inlineStr">
        <is>
          <t>2024-06</t>
        </is>
      </c>
    </row>
    <row r="1218">
      <c r="A1218" s="16" t="n">
        <v>45140</v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A</t>
        </is>
      </c>
      <c r="G1218" t="inlineStr">
        <is>
          <t>Retail</t>
        </is>
      </c>
      <c r="H1218" t="n">
        <v>0.15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Cust 7066</t>
        </is>
      </c>
      <c r="P1218" t="n">
        <v>20.35</v>
      </c>
      <c r="Q1218" s="16" t="n">
        <v>45140</v>
      </c>
      <c r="R1218" s="16" t="n">
        <v>45149</v>
      </c>
      <c r="S1218" t="inlineStr">
        <is>
          <t>Sophie</t>
        </is>
      </c>
      <c r="T1218" t="inlineStr">
        <is>
          <t>2023-08</t>
        </is>
      </c>
    </row>
    <row r="1219">
      <c r="A1219" s="16" t="n">
        <v>45344</v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0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Cust 5180</t>
        </is>
      </c>
      <c r="P1219" t="n">
        <v>27.65</v>
      </c>
      <c r="Q1219" s="16" t="n">
        <v>45344</v>
      </c>
      <c r="R1219" s="16" t="n">
        <v>45349</v>
      </c>
      <c r="S1219" t="inlineStr">
        <is>
          <t>Sophie</t>
        </is>
      </c>
      <c r="T1219" t="inlineStr">
        <is>
          <t>2024-02</t>
        </is>
      </c>
    </row>
    <row r="1220">
      <c r="A1220" s="16" t="n">
        <v>45625</v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D</t>
        </is>
      </c>
      <c r="G1220" t="inlineStr">
        <is>
          <t>Wholesale</t>
        </is>
      </c>
      <c r="H1220" t="n">
        <v>0.05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n">
        <v/>
      </c>
      <c r="M1220" t="n">
        <v>0</v>
      </c>
      <c r="N1220" t="inlineStr">
        <is>
          <t>REG101218</t>
        </is>
      </c>
      <c r="O1220" t="inlineStr">
        <is>
          <t>Cust 6246</t>
        </is>
      </c>
      <c r="P1220" t="n">
        <v>7.62</v>
      </c>
      <c r="Q1220" s="16" t="n">
        <v>45625</v>
      </c>
      <c r="R1220" s="16" t="n">
        <v>45635</v>
      </c>
      <c r="S1220" t="inlineStr">
        <is>
          <t>Ryan</t>
        </is>
      </c>
      <c r="T1220" t="inlineStr">
        <is>
          <t>2024-11</t>
        </is>
      </c>
    </row>
    <row r="1221">
      <c r="A1221" s="16" t="n">
        <v>45128</v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D</t>
        </is>
      </c>
      <c r="G1221" t="inlineStr">
        <is>
          <t>Wholesale</t>
        </is>
      </c>
      <c r="H1221" t="n">
        <v>0.15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n">
        <v/>
      </c>
      <c r="M1221" t="n">
        <v>0</v>
      </c>
      <c r="N1221" t="inlineStr">
        <is>
          <t>REG101219</t>
        </is>
      </c>
      <c r="O1221" t="inlineStr">
        <is>
          <t>Cust 4182</t>
        </is>
      </c>
      <c r="P1221" t="n">
        <v>24.64</v>
      </c>
      <c r="Q1221" s="16" t="n">
        <v>45128</v>
      </c>
      <c r="R1221" s="16" t="n">
        <v>45138</v>
      </c>
      <c r="S1221" t="inlineStr">
        <is>
          <t>Ryan</t>
        </is>
      </c>
      <c r="T1221" t="inlineStr">
        <is>
          <t>2023-07</t>
        </is>
      </c>
    </row>
    <row r="1222">
      <c r="A1222" s="16" t="n">
        <v>45030</v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0.1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Cust 6843</t>
        </is>
      </c>
      <c r="P1222" t="n">
        <v>38.65</v>
      </c>
      <c r="Q1222" s="16" t="n">
        <v>45030</v>
      </c>
      <c r="R1222" s="16" t="n">
        <v>45033</v>
      </c>
      <c r="S1222" t="inlineStr">
        <is>
          <t>Cameron</t>
        </is>
      </c>
      <c r="T1222" t="inlineStr">
        <is>
          <t>2023-04</t>
        </is>
      </c>
    </row>
    <row r="1223">
      <c r="A1223" s="16" t="n">
        <v>44958</v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0.05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Cust 6844</t>
        </is>
      </c>
      <c r="P1223" t="n">
        <v>38.45</v>
      </c>
      <c r="Q1223" s="16" t="n">
        <v>44958</v>
      </c>
      <c r="R1223" s="16" t="n">
        <v>44962</v>
      </c>
      <c r="S1223" t="inlineStr">
        <is>
          <t>Ryan</t>
        </is>
      </c>
      <c r="T1223" t="inlineStr">
        <is>
          <t>2023-02</t>
        </is>
      </c>
    </row>
    <row r="1224">
      <c r="A1224" s="16" t="n">
        <v>45473</v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A</t>
        </is>
      </c>
      <c r="G1224" t="inlineStr">
        <is>
          <t>Retail</t>
        </is>
      </c>
      <c r="H1224" t="n">
        <v>0.1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Cust 3248</t>
        </is>
      </c>
      <c r="P1224" t="n">
        <v>45.78</v>
      </c>
      <c r="Q1224" s="16" t="n">
        <v>45473</v>
      </c>
      <c r="R1224" s="16" t="n">
        <v>45478</v>
      </c>
      <c r="S1224" t="inlineStr">
        <is>
          <t>Eric</t>
        </is>
      </c>
      <c r="T1224" t="inlineStr">
        <is>
          <t>2024-06</t>
        </is>
      </c>
    </row>
    <row r="1225">
      <c r="A1225" s="16" t="n">
        <v>45217</v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D</t>
        </is>
      </c>
      <c r="G1225" t="inlineStr">
        <is>
          <t>Wholesale</t>
        </is>
      </c>
      <c r="H1225" t="n">
        <v>0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Cust 5226</t>
        </is>
      </c>
      <c r="P1225" t="n">
        <v>6.15</v>
      </c>
      <c r="Q1225" s="16" t="n">
        <v>45217</v>
      </c>
      <c r="R1225" s="16" t="n">
        <v>45220</v>
      </c>
      <c r="S1225" t="inlineStr">
        <is>
          <t>Cameron</t>
        </is>
      </c>
      <c r="T1225" t="inlineStr">
        <is>
          <t>2023-10</t>
        </is>
      </c>
    </row>
    <row r="1226">
      <c r="A1226" s="16" t="n">
        <v>45477</v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0.05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Cust 9804</t>
        </is>
      </c>
      <c r="P1226" t="n">
        <v>41.31</v>
      </c>
      <c r="Q1226" s="16" t="n">
        <v>45477</v>
      </c>
      <c r="R1226" s="16" t="n">
        <v>45486</v>
      </c>
      <c r="S1226" t="inlineStr">
        <is>
          <t>Eric</t>
        </is>
      </c>
      <c r="T1226" t="inlineStr">
        <is>
          <t>2024-07</t>
        </is>
      </c>
    </row>
    <row r="1227">
      <c r="A1227" s="16" t="n">
        <v>45477</v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A</t>
        </is>
      </c>
      <c r="G1227" t="inlineStr">
        <is>
          <t>Wholesale</t>
        </is>
      </c>
      <c r="H1227" t="n">
        <v>0.15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Cust 3990</t>
        </is>
      </c>
      <c r="P1227" t="n">
        <v>47.6</v>
      </c>
      <c r="Q1227" s="16" t="n">
        <v>45477</v>
      </c>
      <c r="R1227" s="16" t="n">
        <v>45485</v>
      </c>
      <c r="S1227" t="inlineStr">
        <is>
          <t>Eric</t>
        </is>
      </c>
      <c r="T1227" t="inlineStr">
        <is>
          <t>2024-07</t>
        </is>
      </c>
    </row>
    <row r="1228">
      <c r="A1228" s="16" t="n">
        <v>45134</v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A</t>
        </is>
      </c>
      <c r="G1228" t="inlineStr">
        <is>
          <t>Retail</t>
        </is>
      </c>
      <c r="H1228" t="n">
        <v>0.15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Cust 5106</t>
        </is>
      </c>
      <c r="P1228" t="n">
        <v>28.72</v>
      </c>
      <c r="Q1228" s="16" t="n">
        <v>45134</v>
      </c>
      <c r="R1228" s="16" t="n">
        <v>45140</v>
      </c>
      <c r="S1228" t="inlineStr">
        <is>
          <t>Ryan</t>
        </is>
      </c>
      <c r="T1228" t="inlineStr">
        <is>
          <t>2023-07</t>
        </is>
      </c>
    </row>
    <row r="1229">
      <c r="A1229" s="16" t="n">
        <v>45717</v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B</t>
        </is>
      </c>
      <c r="G1229" t="inlineStr">
        <is>
          <t>Retail</t>
        </is>
      </c>
      <c r="H1229" t="n">
        <v>0.05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n">
        <v/>
      </c>
      <c r="M1229" t="n">
        <v>0</v>
      </c>
      <c r="N1229" t="inlineStr">
        <is>
          <t>REG101227</t>
        </is>
      </c>
      <c r="O1229" t="inlineStr">
        <is>
          <t>Cust 3448</t>
        </is>
      </c>
      <c r="P1229" t="n">
        <v>6.89</v>
      </c>
      <c r="Q1229" s="16" t="n">
        <v>45717</v>
      </c>
      <c r="R1229" s="16" t="n">
        <v>45722</v>
      </c>
      <c r="S1229" t="inlineStr">
        <is>
          <t>Wendy</t>
        </is>
      </c>
      <c r="T1229" t="inlineStr">
        <is>
          <t>2025-03</t>
        </is>
      </c>
    </row>
    <row r="1230">
      <c r="A1230" s="16" t="n">
        <v>44980</v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C</t>
        </is>
      </c>
      <c r="G1230" t="inlineStr">
        <is>
          <t>Wholesale</t>
        </is>
      </c>
      <c r="H1230" t="n">
        <v>0.1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n">
        <v/>
      </c>
      <c r="M1230" t="n">
        <v>0</v>
      </c>
      <c r="N1230" t="inlineStr">
        <is>
          <t>REG101228</t>
        </is>
      </c>
      <c r="O1230" t="inlineStr">
        <is>
          <t>Cust 1439</t>
        </is>
      </c>
      <c r="P1230" t="n">
        <v>44.3</v>
      </c>
      <c r="Q1230" s="16" t="n">
        <v>44980</v>
      </c>
      <c r="R1230" s="16" t="n">
        <v>44982</v>
      </c>
      <c r="S1230" t="inlineStr">
        <is>
          <t>Cameron</t>
        </is>
      </c>
      <c r="T1230" t="inlineStr">
        <is>
          <t>2023-02</t>
        </is>
      </c>
    </row>
    <row r="1231">
      <c r="A1231" s="16" t="n">
        <v>44937</v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D</t>
        </is>
      </c>
      <c r="G1231" t="inlineStr">
        <is>
          <t>Retail</t>
        </is>
      </c>
      <c r="H1231" t="n">
        <v>0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Cust 5342</t>
        </is>
      </c>
      <c r="P1231" t="n">
        <v>43.37</v>
      </c>
      <c r="Q1231" s="16" t="n">
        <v>44937</v>
      </c>
      <c r="R1231" s="16" t="n">
        <v>44946</v>
      </c>
      <c r="S1231" t="inlineStr">
        <is>
          <t>Eric</t>
        </is>
      </c>
      <c r="T1231" t="inlineStr">
        <is>
          <t>2023-01</t>
        </is>
      </c>
    </row>
    <row r="1232">
      <c r="A1232" s="16" t="n">
        <v>45398</v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A</t>
        </is>
      </c>
      <c r="G1232" t="inlineStr">
        <is>
          <t>Wholesale</t>
        </is>
      </c>
      <c r="H1232" t="n">
        <v>0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Cust 4564</t>
        </is>
      </c>
      <c r="P1232" t="n">
        <v>13.12</v>
      </c>
      <c r="Q1232" s="16" t="n">
        <v>45398</v>
      </c>
      <c r="R1232" s="16" t="n">
        <v>45402</v>
      </c>
      <c r="S1232" t="inlineStr">
        <is>
          <t>Wendy</t>
        </is>
      </c>
      <c r="T1232" t="inlineStr">
        <is>
          <t>2024-04</t>
        </is>
      </c>
    </row>
    <row r="1233">
      <c r="A1233" s="16" t="n">
        <v>45360</v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C</t>
        </is>
      </c>
      <c r="G1233" t="inlineStr">
        <is>
          <t>Retail</t>
        </is>
      </c>
      <c r="H1233" t="n">
        <v>0.05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Cust 6441</t>
        </is>
      </c>
      <c r="P1233" t="n">
        <v>31.96</v>
      </c>
      <c r="Q1233" s="16" t="n">
        <v>45360</v>
      </c>
      <c r="R1233" s="16" t="n">
        <v>45363</v>
      </c>
      <c r="S1233" t="inlineStr">
        <is>
          <t>Cameron</t>
        </is>
      </c>
      <c r="T1233" t="inlineStr">
        <is>
          <t>2024-03</t>
        </is>
      </c>
    </row>
    <row r="1234">
      <c r="A1234" s="16" t="n">
        <v>45572</v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A</t>
        </is>
      </c>
      <c r="G1234" t="inlineStr">
        <is>
          <t>Wholesale</t>
        </is>
      </c>
      <c r="H1234" t="n">
        <v>0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Cust 7591</t>
        </is>
      </c>
      <c r="P1234" t="n">
        <v>8.890000000000001</v>
      </c>
      <c r="Q1234" s="16" t="n">
        <v>45572</v>
      </c>
      <c r="R1234" s="16" t="n">
        <v>45576</v>
      </c>
      <c r="S1234" t="inlineStr">
        <is>
          <t>Sophie</t>
        </is>
      </c>
      <c r="T1234" t="inlineStr">
        <is>
          <t>2024-10</t>
        </is>
      </c>
    </row>
    <row r="1235">
      <c r="A1235" s="16" t="n">
        <v>45205</v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D</t>
        </is>
      </c>
      <c r="G1235" t="inlineStr">
        <is>
          <t>Wholesale</t>
        </is>
      </c>
      <c r="H1235" t="n">
        <v>0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Cust 9778</t>
        </is>
      </c>
      <c r="P1235" t="n">
        <v>14.41</v>
      </c>
      <c r="Q1235" s="16" t="n">
        <v>45205</v>
      </c>
      <c r="R1235" s="16" t="n">
        <v>45214</v>
      </c>
      <c r="S1235" t="inlineStr">
        <is>
          <t>Wendy</t>
        </is>
      </c>
      <c r="T1235" t="inlineStr">
        <is>
          <t>2023-10</t>
        </is>
      </c>
    </row>
    <row r="1236">
      <c r="A1236" s="16" t="n">
        <v>45024</v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B</t>
        </is>
      </c>
      <c r="G1236" t="inlineStr">
        <is>
          <t>Wholesale</t>
        </is>
      </c>
      <c r="H1236" t="n">
        <v>0.05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n">
        <v/>
      </c>
      <c r="M1236" t="n">
        <v>0</v>
      </c>
      <c r="N1236" t="inlineStr">
        <is>
          <t>REG101234</t>
        </is>
      </c>
      <c r="O1236" t="inlineStr">
        <is>
          <t>Cust 1195</t>
        </is>
      </c>
      <c r="P1236" t="n">
        <v>41.73</v>
      </c>
      <c r="Q1236" s="16" t="n">
        <v>45024</v>
      </c>
      <c r="R1236" s="16" t="n">
        <v>45029</v>
      </c>
      <c r="S1236" t="inlineStr">
        <is>
          <t>Wendy</t>
        </is>
      </c>
      <c r="T1236" t="inlineStr">
        <is>
          <t>2023-04</t>
        </is>
      </c>
    </row>
    <row r="1237">
      <c r="A1237" s="16" t="n">
        <v>45342</v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D</t>
        </is>
      </c>
      <c r="G1237" t="inlineStr">
        <is>
          <t>Retail</t>
        </is>
      </c>
      <c r="H1237" t="n">
        <v>0.15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Cust 8126</t>
        </is>
      </c>
      <c r="P1237" t="n">
        <v>6.14</v>
      </c>
      <c r="Q1237" s="16" t="n">
        <v>45342</v>
      </c>
      <c r="R1237" s="16" t="n">
        <v>45349</v>
      </c>
      <c r="S1237" t="inlineStr">
        <is>
          <t>Sophie</t>
        </is>
      </c>
      <c r="T1237" t="inlineStr">
        <is>
          <t>2024-02</t>
        </is>
      </c>
    </row>
    <row r="1238">
      <c r="A1238" s="16" t="n">
        <v>44956</v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B</t>
        </is>
      </c>
      <c r="G1238" t="inlineStr">
        <is>
          <t>Retail</t>
        </is>
      </c>
      <c r="H1238" t="n">
        <v>0.15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n">
        <v/>
      </c>
      <c r="M1238" t="n">
        <v>0</v>
      </c>
      <c r="N1238" t="inlineStr">
        <is>
          <t>REG101236</t>
        </is>
      </c>
      <c r="O1238" t="inlineStr">
        <is>
          <t>Cust 4609</t>
        </is>
      </c>
      <c r="P1238" t="n">
        <v>21.56</v>
      </c>
      <c r="Q1238" s="16" t="n">
        <v>44956</v>
      </c>
      <c r="R1238" s="16" t="n">
        <v>44965</v>
      </c>
      <c r="S1238" t="inlineStr">
        <is>
          <t>Wendy</t>
        </is>
      </c>
      <c r="T1238" t="inlineStr">
        <is>
          <t>2023-01</t>
        </is>
      </c>
    </row>
    <row r="1239">
      <c r="A1239" s="16" t="n">
        <v>45058</v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B</t>
        </is>
      </c>
      <c r="G1239" t="inlineStr">
        <is>
          <t>Wholesale</t>
        </is>
      </c>
      <c r="H1239" t="n">
        <v>0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n">
        <v/>
      </c>
      <c r="M1239" t="n">
        <v>0</v>
      </c>
      <c r="N1239" t="inlineStr">
        <is>
          <t>REG101237</t>
        </is>
      </c>
      <c r="O1239" t="inlineStr">
        <is>
          <t>Cust 1449</t>
        </is>
      </c>
      <c r="P1239" t="n">
        <v>31.53</v>
      </c>
      <c r="Q1239" s="16" t="n">
        <v>45058</v>
      </c>
      <c r="R1239" s="16" t="n">
        <v>45066</v>
      </c>
      <c r="S1239" t="inlineStr">
        <is>
          <t>Sophie</t>
        </is>
      </c>
      <c r="T1239" t="inlineStr">
        <is>
          <t>2023-05</t>
        </is>
      </c>
    </row>
    <row r="1240">
      <c r="A1240" s="16" t="n">
        <v>45299</v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A</t>
        </is>
      </c>
      <c r="G1240" t="inlineStr">
        <is>
          <t>Retail</t>
        </is>
      </c>
      <c r="H1240" t="n">
        <v>0.15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Cust 3508</t>
        </is>
      </c>
      <c r="P1240" t="n">
        <v>19.95</v>
      </c>
      <c r="Q1240" s="16" t="n">
        <v>45299</v>
      </c>
      <c r="R1240" s="16" t="n">
        <v>45303</v>
      </c>
      <c r="S1240" t="inlineStr">
        <is>
          <t>Sophie</t>
        </is>
      </c>
      <c r="T1240" t="inlineStr">
        <is>
          <t>2024-01</t>
        </is>
      </c>
    </row>
    <row r="1241">
      <c r="A1241" s="16" t="n">
        <v>45448</v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D</t>
        </is>
      </c>
      <c r="G1241" t="inlineStr">
        <is>
          <t>Retail</t>
        </is>
      </c>
      <c r="H1241" t="n">
        <v>0.05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Cust 4826</t>
        </is>
      </c>
      <c r="P1241" t="n">
        <v>19.45</v>
      </c>
      <c r="Q1241" s="16" t="n">
        <v>45448</v>
      </c>
      <c r="R1241" s="16" t="n">
        <v>45451</v>
      </c>
      <c r="S1241" t="inlineStr">
        <is>
          <t>Ryan</t>
        </is>
      </c>
      <c r="T1241" t="inlineStr">
        <is>
          <t>2024-06</t>
        </is>
      </c>
    </row>
    <row r="1242">
      <c r="A1242" s="16" t="n">
        <v>45798</v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B</t>
        </is>
      </c>
      <c r="G1242" t="inlineStr">
        <is>
          <t>Wholesale</t>
        </is>
      </c>
      <c r="H1242" t="n">
        <v>0.1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Cust 1232</t>
        </is>
      </c>
      <c r="P1242" t="n">
        <v>9.31</v>
      </c>
      <c r="Q1242" s="16" t="n">
        <v>45798</v>
      </c>
      <c r="R1242" s="16" t="n">
        <v>45800</v>
      </c>
      <c r="S1242" t="inlineStr">
        <is>
          <t>Eric</t>
        </is>
      </c>
      <c r="T1242" t="inlineStr">
        <is>
          <t>2025-05</t>
        </is>
      </c>
    </row>
    <row r="1243">
      <c r="A1243" s="16" t="n">
        <v>45798</v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n">
        <v/>
      </c>
      <c r="M1243" t="n">
        <v>1</v>
      </c>
      <c r="N1243" t="inlineStr">
        <is>
          <t>REG101241</t>
        </is>
      </c>
      <c r="O1243" t="inlineStr">
        <is>
          <t>Cust 9675</t>
        </is>
      </c>
      <c r="P1243" t="n">
        <v>46.57</v>
      </c>
      <c r="Q1243" s="16" t="n">
        <v>45798</v>
      </c>
      <c r="R1243" s="16" t="n">
        <v>45803</v>
      </c>
      <c r="S1243" t="inlineStr">
        <is>
          <t>Eric</t>
        </is>
      </c>
      <c r="T1243" t="inlineStr">
        <is>
          <t>2025-05</t>
        </is>
      </c>
    </row>
    <row r="1244">
      <c r="A1244" s="16" t="n">
        <v>44990</v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0.05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Cust 5153</t>
        </is>
      </c>
      <c r="P1244" t="n">
        <v>37.47</v>
      </c>
      <c r="Q1244" s="16" t="n">
        <v>44990</v>
      </c>
      <c r="R1244" s="16" t="n">
        <v>44996</v>
      </c>
      <c r="S1244" t="inlineStr">
        <is>
          <t>Eric</t>
        </is>
      </c>
      <c r="T1244" t="inlineStr">
        <is>
          <t>2023-03</t>
        </is>
      </c>
    </row>
    <row r="1245">
      <c r="A1245" s="16" t="n">
        <v>45592</v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B</t>
        </is>
      </c>
      <c r="G1245" t="inlineStr">
        <is>
          <t>Retail</t>
        </is>
      </c>
      <c r="H1245" t="n">
        <v>0.05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Cust 6330</t>
        </is>
      </c>
      <c r="P1245" t="n">
        <v>25.86</v>
      </c>
      <c r="Q1245" s="16" t="n">
        <v>45592</v>
      </c>
      <c r="R1245" s="16" t="n">
        <v>45598</v>
      </c>
      <c r="S1245" t="inlineStr">
        <is>
          <t>Sophie</t>
        </is>
      </c>
      <c r="T1245" t="inlineStr">
        <is>
          <t>2024-10</t>
        </is>
      </c>
    </row>
    <row r="1246">
      <c r="A1246" s="16" t="n">
        <v>45740</v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0.1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Cust 8277</t>
        </is>
      </c>
      <c r="P1246" t="n">
        <v>21.17</v>
      </c>
      <c r="Q1246" s="16" t="n">
        <v>45740</v>
      </c>
      <c r="R1246" s="16" t="n">
        <v>45745</v>
      </c>
      <c r="S1246" t="inlineStr">
        <is>
          <t>Ryan</t>
        </is>
      </c>
      <c r="T1246" t="inlineStr">
        <is>
          <t>2025-03</t>
        </is>
      </c>
    </row>
    <row r="1247">
      <c r="A1247" s="16" t="n">
        <v>45556</v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0.05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Cust 5884</t>
        </is>
      </c>
      <c r="P1247" t="n">
        <v>36.68</v>
      </c>
      <c r="Q1247" s="16" t="n">
        <v>45556</v>
      </c>
      <c r="R1247" s="16" t="n">
        <v>45562</v>
      </c>
      <c r="S1247" t="inlineStr">
        <is>
          <t>Wendy</t>
        </is>
      </c>
      <c r="T1247" t="inlineStr">
        <is>
          <t>2024-09</t>
        </is>
      </c>
    </row>
    <row r="1248">
      <c r="A1248" s="16" t="n">
        <v>45795</v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0.05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n">
        <v/>
      </c>
      <c r="M1248" t="n">
        <v>0</v>
      </c>
      <c r="N1248" t="inlineStr">
        <is>
          <t>REG101246</t>
        </is>
      </c>
      <c r="O1248" t="inlineStr">
        <is>
          <t>Cust 4061</t>
        </is>
      </c>
      <c r="P1248" t="n">
        <v>22.88</v>
      </c>
      <c r="Q1248" s="16" t="n">
        <v>45795</v>
      </c>
      <c r="R1248" s="16" t="n">
        <v>45804</v>
      </c>
      <c r="S1248" t="inlineStr">
        <is>
          <t>Ryan</t>
        </is>
      </c>
      <c r="T1248" t="inlineStr">
        <is>
          <t>2025-05</t>
        </is>
      </c>
    </row>
    <row r="1249">
      <c r="A1249" s="16" t="n">
        <v>45484</v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0.1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Cust 8095</t>
        </is>
      </c>
      <c r="P1249" t="n">
        <v>12.98</v>
      </c>
      <c r="Q1249" s="16" t="n">
        <v>45484</v>
      </c>
      <c r="R1249" s="16" t="n">
        <v>45487</v>
      </c>
      <c r="S1249" t="inlineStr">
        <is>
          <t>Eric</t>
        </is>
      </c>
      <c r="T1249" t="inlineStr">
        <is>
          <t>2024-07</t>
        </is>
      </c>
    </row>
    <row r="1250">
      <c r="A1250" s="16" t="n">
        <v>45684</v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0.05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n">
        <v/>
      </c>
      <c r="M1250" t="n">
        <v>0</v>
      </c>
      <c r="N1250" t="inlineStr">
        <is>
          <t>REG101248</t>
        </is>
      </c>
      <c r="O1250" t="inlineStr">
        <is>
          <t>Cust 2435</t>
        </is>
      </c>
      <c r="P1250" t="n">
        <v>30.8</v>
      </c>
      <c r="Q1250" s="16" t="n">
        <v>45684</v>
      </c>
      <c r="R1250" s="16" t="n">
        <v>45692</v>
      </c>
      <c r="S1250" t="inlineStr">
        <is>
          <t>Ryan</t>
        </is>
      </c>
      <c r="T1250" t="inlineStr">
        <is>
          <t>2025-01</t>
        </is>
      </c>
    </row>
    <row r="1251">
      <c r="A1251" s="16" t="n">
        <v>45256</v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Cust 6785</t>
        </is>
      </c>
      <c r="P1251" t="n">
        <v>15.47</v>
      </c>
      <c r="Q1251" s="16" t="n">
        <v>45256</v>
      </c>
      <c r="R1251" s="16" t="n">
        <v>45266</v>
      </c>
      <c r="S1251" t="inlineStr">
        <is>
          <t>Eric</t>
        </is>
      </c>
      <c r="T1251" t="inlineStr">
        <is>
          <t>2023-11</t>
        </is>
      </c>
    </row>
    <row r="1252">
      <c r="A1252" s="16" t="n">
        <v>45445</v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0.15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Cust 6485</t>
        </is>
      </c>
      <c r="P1252" t="n">
        <v>32.96</v>
      </c>
      <c r="Q1252" s="16" t="n">
        <v>45445</v>
      </c>
      <c r="R1252" s="16" t="n">
        <v>45447</v>
      </c>
      <c r="S1252" t="inlineStr">
        <is>
          <t>Cameron</t>
        </is>
      </c>
      <c r="T1252" t="inlineStr">
        <is>
          <t>2024-06</t>
        </is>
      </c>
    </row>
    <row r="1253">
      <c r="A1253" s="16" t="n">
        <v>44943</v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D</t>
        </is>
      </c>
      <c r="G1253" t="inlineStr">
        <is>
          <t>Wholesale</t>
        </is>
      </c>
      <c r="H1253" t="n">
        <v>0.05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Cust 6960</t>
        </is>
      </c>
      <c r="P1253" t="n">
        <v>10.72</v>
      </c>
      <c r="Q1253" s="16" t="n">
        <v>44943</v>
      </c>
      <c r="R1253" s="16" t="n">
        <v>44950</v>
      </c>
      <c r="S1253" t="inlineStr">
        <is>
          <t>Ryan</t>
        </is>
      </c>
      <c r="T1253" t="inlineStr">
        <is>
          <t>2023-01</t>
        </is>
      </c>
    </row>
    <row r="1254">
      <c r="A1254" s="16" t="n">
        <v>45780</v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D</t>
        </is>
      </c>
      <c r="G1254" t="inlineStr">
        <is>
          <t>Wholesale</t>
        </is>
      </c>
      <c r="H1254" t="n">
        <v>0.05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n">
        <v/>
      </c>
      <c r="M1254" t="n">
        <v>0</v>
      </c>
      <c r="N1254" t="inlineStr">
        <is>
          <t>REG101252</t>
        </is>
      </c>
      <c r="O1254" t="inlineStr">
        <is>
          <t>Cust 1135</t>
        </is>
      </c>
      <c r="P1254" t="n">
        <v>24.51</v>
      </c>
      <c r="Q1254" s="16" t="n">
        <v>45780</v>
      </c>
      <c r="R1254" s="16" t="n">
        <v>45788</v>
      </c>
      <c r="S1254" t="inlineStr">
        <is>
          <t>Ryan</t>
        </is>
      </c>
      <c r="T1254" t="inlineStr">
        <is>
          <t>2025-05</t>
        </is>
      </c>
    </row>
    <row r="1255">
      <c r="A1255" s="16" t="n">
        <v>45662</v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A</t>
        </is>
      </c>
      <c r="G1255" t="inlineStr">
        <is>
          <t>Wholesale</t>
        </is>
      </c>
      <c r="H1255" t="n">
        <v>0.15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Cust 6186</t>
        </is>
      </c>
      <c r="P1255" t="n">
        <v>44.85</v>
      </c>
      <c r="Q1255" s="16" t="n">
        <v>45662</v>
      </c>
      <c r="R1255" s="16" t="n">
        <v>45670</v>
      </c>
      <c r="S1255" t="inlineStr">
        <is>
          <t>Ryan</t>
        </is>
      </c>
      <c r="T1255" t="inlineStr">
        <is>
          <t>2025-01</t>
        </is>
      </c>
    </row>
    <row r="1256">
      <c r="A1256" s="16" t="n">
        <v>45342</v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B</t>
        </is>
      </c>
      <c r="G1256" t="inlineStr">
        <is>
          <t>Retail</t>
        </is>
      </c>
      <c r="H1256" t="n">
        <v>0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Cust 8828</t>
        </is>
      </c>
      <c r="P1256" t="n">
        <v>32.01</v>
      </c>
      <c r="Q1256" s="16" t="n">
        <v>45342</v>
      </c>
      <c r="R1256" s="16" t="n">
        <v>45352</v>
      </c>
      <c r="S1256" t="inlineStr">
        <is>
          <t>Eric</t>
        </is>
      </c>
      <c r="T1256" t="inlineStr">
        <is>
          <t>2024-02</t>
        </is>
      </c>
    </row>
    <row r="1257">
      <c r="A1257" s="16" t="n">
        <v>45286</v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0.15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Cust 9097</t>
        </is>
      </c>
      <c r="P1257" t="n">
        <v>39.72</v>
      </c>
      <c r="Q1257" s="16" t="n">
        <v>45286</v>
      </c>
      <c r="R1257" s="16" t="n">
        <v>45295</v>
      </c>
      <c r="S1257" t="inlineStr">
        <is>
          <t>Ryan</t>
        </is>
      </c>
      <c r="T1257" t="inlineStr">
        <is>
          <t>2023-12</t>
        </is>
      </c>
    </row>
    <row r="1258">
      <c r="A1258" s="16" t="n">
        <v>44992</v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C</t>
        </is>
      </c>
      <c r="G1258" t="inlineStr">
        <is>
          <t>Retail</t>
        </is>
      </c>
      <c r="H1258" t="n">
        <v>0.1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Cust 4744</t>
        </is>
      </c>
      <c r="P1258" t="n">
        <v>21.82</v>
      </c>
      <c r="Q1258" s="16" t="n">
        <v>44992</v>
      </c>
      <c r="R1258" s="16" t="n">
        <v>44997</v>
      </c>
      <c r="S1258" t="inlineStr">
        <is>
          <t>Ryan</t>
        </is>
      </c>
      <c r="T1258" t="inlineStr">
        <is>
          <t>2023-03</t>
        </is>
      </c>
    </row>
    <row r="1259">
      <c r="A1259" s="16" t="n">
        <v>45548</v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C</t>
        </is>
      </c>
      <c r="G1259" t="inlineStr">
        <is>
          <t>Wholesale</t>
        </is>
      </c>
      <c r="H1259" t="n">
        <v>0.15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Cust 4287</t>
        </is>
      </c>
      <c r="P1259" t="n">
        <v>28.3</v>
      </c>
      <c r="Q1259" s="16" t="n">
        <v>45548</v>
      </c>
      <c r="R1259" s="16" t="n">
        <v>45557</v>
      </c>
      <c r="S1259" t="inlineStr">
        <is>
          <t>Ryan</t>
        </is>
      </c>
      <c r="T1259" t="inlineStr">
        <is>
          <t>2024-09</t>
        </is>
      </c>
    </row>
    <row r="1260">
      <c r="A1260" s="16" t="n">
        <v>45293</v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B</t>
        </is>
      </c>
      <c r="G1260" t="inlineStr">
        <is>
          <t>Wholesale</t>
        </is>
      </c>
      <c r="H1260" t="n">
        <v>0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Cust 2236</t>
        </is>
      </c>
      <c r="P1260" t="n">
        <v>29.64</v>
      </c>
      <c r="Q1260" s="16" t="n">
        <v>45293</v>
      </c>
      <c r="R1260" s="16" t="n">
        <v>45303</v>
      </c>
      <c r="S1260" t="inlineStr">
        <is>
          <t>Eric</t>
        </is>
      </c>
      <c r="T1260" t="inlineStr">
        <is>
          <t>2024-01</t>
        </is>
      </c>
    </row>
    <row r="1261">
      <c r="A1261" s="16" t="n">
        <v>45696</v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C</t>
        </is>
      </c>
      <c r="G1261" t="inlineStr">
        <is>
          <t>Retail</t>
        </is>
      </c>
      <c r="H1261" t="n">
        <v>0.1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Cust 5312</t>
        </is>
      </c>
      <c r="P1261" t="n">
        <v>20.58</v>
      </c>
      <c r="Q1261" s="16" t="n">
        <v>45696</v>
      </c>
      <c r="R1261" s="16" t="n">
        <v>45706</v>
      </c>
      <c r="S1261" t="inlineStr">
        <is>
          <t>Sophie</t>
        </is>
      </c>
      <c r="T1261" t="inlineStr">
        <is>
          <t>2025-02</t>
        </is>
      </c>
    </row>
    <row r="1262">
      <c r="A1262" s="16" t="n">
        <v>45720</v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D</t>
        </is>
      </c>
      <c r="G1262" t="inlineStr">
        <is>
          <t>Wholesale</t>
        </is>
      </c>
      <c r="H1262" t="n">
        <v>0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Cust 5096</t>
        </is>
      </c>
      <c r="P1262" t="n">
        <v>19.63</v>
      </c>
      <c r="Q1262" s="16" t="n">
        <v>45720</v>
      </c>
      <c r="R1262" s="16" t="n">
        <v>45728</v>
      </c>
      <c r="S1262" t="inlineStr">
        <is>
          <t>Sophie</t>
        </is>
      </c>
      <c r="T1262" t="inlineStr">
        <is>
          <t>2025-03</t>
        </is>
      </c>
    </row>
    <row r="1263">
      <c r="A1263" s="16" t="n">
        <v>45363</v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D</t>
        </is>
      </c>
      <c r="G1263" t="inlineStr">
        <is>
          <t>Retail</t>
        </is>
      </c>
      <c r="H1263" t="n">
        <v>0.05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Cust 1162</t>
        </is>
      </c>
      <c r="P1263" t="n">
        <v>22.68</v>
      </c>
      <c r="Q1263" s="16" t="n">
        <v>45363</v>
      </c>
      <c r="R1263" s="16" t="n">
        <v>45372</v>
      </c>
      <c r="S1263" t="inlineStr">
        <is>
          <t>Cameron</t>
        </is>
      </c>
      <c r="T1263" t="inlineStr">
        <is>
          <t>2024-03</t>
        </is>
      </c>
    </row>
    <row r="1264">
      <c r="A1264" s="16" t="n">
        <v>45476</v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D</t>
        </is>
      </c>
      <c r="G1264" t="inlineStr">
        <is>
          <t>Retail</t>
        </is>
      </c>
      <c r="H1264" t="n">
        <v>0.05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Cust 1669</t>
        </is>
      </c>
      <c r="P1264" t="n">
        <v>22.81</v>
      </c>
      <c r="Q1264" s="16" t="n">
        <v>45476</v>
      </c>
      <c r="R1264" s="16" t="n">
        <v>45480</v>
      </c>
      <c r="S1264" t="inlineStr">
        <is>
          <t>Eric</t>
        </is>
      </c>
      <c r="T1264" t="inlineStr">
        <is>
          <t>2024-07</t>
        </is>
      </c>
    </row>
    <row r="1265">
      <c r="A1265" s="16" t="n">
        <v>45662</v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0.1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Cust 6213</t>
        </is>
      </c>
      <c r="P1265" t="n">
        <v>18.26</v>
      </c>
      <c r="Q1265" s="16" t="n">
        <v>45662</v>
      </c>
      <c r="R1265" s="16" t="n">
        <v>45670</v>
      </c>
      <c r="S1265" t="inlineStr">
        <is>
          <t>Ryan</t>
        </is>
      </c>
      <c r="T1265" t="inlineStr">
        <is>
          <t>2025-01</t>
        </is>
      </c>
    </row>
    <row r="1266">
      <c r="A1266" s="16" t="n">
        <v>45372</v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D</t>
        </is>
      </c>
      <c r="G1266" t="inlineStr">
        <is>
          <t>Retail</t>
        </is>
      </c>
      <c r="H1266" t="n">
        <v>0.05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Cust 7659</t>
        </is>
      </c>
      <c r="P1266" t="n">
        <v>12.12</v>
      </c>
      <c r="Q1266" s="16" t="n">
        <v>45372</v>
      </c>
      <c r="R1266" s="16" t="n">
        <v>45379</v>
      </c>
      <c r="S1266" t="inlineStr">
        <is>
          <t>Eric</t>
        </is>
      </c>
      <c r="T1266" t="inlineStr">
        <is>
          <t>2024-03</t>
        </is>
      </c>
    </row>
    <row r="1267">
      <c r="A1267" s="16" t="n">
        <v>45744</v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D</t>
        </is>
      </c>
      <c r="G1267" t="inlineStr">
        <is>
          <t>Retail</t>
        </is>
      </c>
      <c r="H1267" t="n">
        <v>0.1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n">
        <v/>
      </c>
      <c r="M1267" t="n">
        <v>0</v>
      </c>
      <c r="N1267" t="inlineStr">
        <is>
          <t>REG101265</t>
        </is>
      </c>
      <c r="O1267" t="inlineStr">
        <is>
          <t>Cust 2894</t>
        </is>
      </c>
      <c r="P1267" t="n">
        <v>8.539999999999999</v>
      </c>
      <c r="Q1267" s="16" t="n">
        <v>45744</v>
      </c>
      <c r="R1267" s="16" t="n">
        <v>45750</v>
      </c>
      <c r="S1267" t="inlineStr">
        <is>
          <t>Cameron</t>
        </is>
      </c>
      <c r="T1267" t="inlineStr">
        <is>
          <t>2025-03</t>
        </is>
      </c>
    </row>
    <row r="1268">
      <c r="A1268" s="16" t="n">
        <v>45760</v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Cust 1457</t>
        </is>
      </c>
      <c r="P1268" t="n">
        <v>49.93</v>
      </c>
      <c r="Q1268" s="16" t="n">
        <v>45760</v>
      </c>
      <c r="R1268" s="16" t="n">
        <v>45765</v>
      </c>
      <c r="S1268" t="inlineStr">
        <is>
          <t>Cameron</t>
        </is>
      </c>
      <c r="T1268" t="inlineStr">
        <is>
          <t>2025-04</t>
        </is>
      </c>
    </row>
    <row r="1269">
      <c r="A1269" s="16" t="n">
        <v>45412</v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C</t>
        </is>
      </c>
      <c r="G1269" t="inlineStr">
        <is>
          <t>Retail</t>
        </is>
      </c>
      <c r="H1269" t="n">
        <v>0.05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Cust 2410</t>
        </is>
      </c>
      <c r="P1269" t="n">
        <v>7.59</v>
      </c>
      <c r="Q1269" s="16" t="n">
        <v>45412</v>
      </c>
      <c r="R1269" s="16" t="n">
        <v>45421</v>
      </c>
      <c r="S1269" t="inlineStr">
        <is>
          <t>Wendy</t>
        </is>
      </c>
      <c r="T1269" t="inlineStr">
        <is>
          <t>2024-04</t>
        </is>
      </c>
    </row>
    <row r="1270">
      <c r="A1270" s="16" t="n">
        <v>45703</v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0.15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Cust 4723</t>
        </is>
      </c>
      <c r="P1270" t="n">
        <v>48.46</v>
      </c>
      <c r="Q1270" s="16" t="n">
        <v>45703</v>
      </c>
      <c r="R1270" s="16" t="n">
        <v>45707</v>
      </c>
      <c r="S1270" t="inlineStr">
        <is>
          <t>Sophie</t>
        </is>
      </c>
      <c r="T1270" t="inlineStr">
        <is>
          <t>2025-02</t>
        </is>
      </c>
    </row>
    <row r="1271">
      <c r="A1271" s="16" t="n">
        <v>45706</v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D</t>
        </is>
      </c>
      <c r="G1271" t="inlineStr">
        <is>
          <t>Wholesale</t>
        </is>
      </c>
      <c r="H1271" t="n">
        <v>0.1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Cust 1586</t>
        </is>
      </c>
      <c r="P1271" t="n">
        <v>36.28</v>
      </c>
      <c r="Q1271" s="16" t="n">
        <v>45706</v>
      </c>
      <c r="R1271" s="16" t="n">
        <v>45711</v>
      </c>
      <c r="S1271" t="inlineStr">
        <is>
          <t>Wendy</t>
        </is>
      </c>
      <c r="T1271" t="inlineStr">
        <is>
          <t>2025-02</t>
        </is>
      </c>
    </row>
    <row r="1272">
      <c r="A1272" s="16" t="n">
        <v>45177</v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B</t>
        </is>
      </c>
      <c r="G1272" t="inlineStr">
        <is>
          <t>Wholesale</t>
        </is>
      </c>
      <c r="H1272" t="n">
        <v>0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n">
        <v/>
      </c>
      <c r="M1272" t="n">
        <v>0</v>
      </c>
      <c r="N1272" t="inlineStr">
        <is>
          <t>REG101270</t>
        </is>
      </c>
      <c r="O1272" t="inlineStr">
        <is>
          <t>Cust 5049</t>
        </is>
      </c>
      <c r="P1272" t="n">
        <v>29.19</v>
      </c>
      <c r="Q1272" s="16" t="n">
        <v>45177</v>
      </c>
      <c r="R1272" s="16" t="n">
        <v>45179</v>
      </c>
      <c r="S1272" t="inlineStr">
        <is>
          <t>Wendy</t>
        </is>
      </c>
      <c r="T1272" t="inlineStr">
        <is>
          <t>2023-09</t>
        </is>
      </c>
    </row>
    <row r="1273">
      <c r="A1273" s="16" t="n">
        <v>45326</v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B</t>
        </is>
      </c>
      <c r="G1273" t="inlineStr">
        <is>
          <t>Retail</t>
        </is>
      </c>
      <c r="H1273" t="n">
        <v>0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Cust 9534</t>
        </is>
      </c>
      <c r="P1273" t="n">
        <v>42.91</v>
      </c>
      <c r="Q1273" s="16" t="n">
        <v>45326</v>
      </c>
      <c r="R1273" s="16" t="n">
        <v>45328</v>
      </c>
      <c r="S1273" t="inlineStr">
        <is>
          <t>Cameron</t>
        </is>
      </c>
      <c r="T1273" t="inlineStr">
        <is>
          <t>2024-02</t>
        </is>
      </c>
    </row>
    <row r="1274">
      <c r="A1274" s="16" t="n">
        <v>45621</v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0.15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Cust 5693</t>
        </is>
      </c>
      <c r="P1274" t="n">
        <v>12.07</v>
      </c>
      <c r="Q1274" s="16" t="n">
        <v>45621</v>
      </c>
      <c r="R1274" s="16" t="n">
        <v>45631</v>
      </c>
      <c r="S1274" t="inlineStr">
        <is>
          <t>Ryan</t>
        </is>
      </c>
      <c r="T1274" t="inlineStr">
        <is>
          <t>2024-11</t>
        </is>
      </c>
    </row>
    <row r="1275">
      <c r="A1275" s="16" t="n">
        <v>45656</v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D</t>
        </is>
      </c>
      <c r="G1275" t="inlineStr">
        <is>
          <t>Retail</t>
        </is>
      </c>
      <c r="H1275" t="n">
        <v>0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Cust 6950</t>
        </is>
      </c>
      <c r="P1275" t="n">
        <v>5.41</v>
      </c>
      <c r="Q1275" s="16" t="n">
        <v>45656</v>
      </c>
      <c r="R1275" s="16" t="n">
        <v>45659</v>
      </c>
      <c r="S1275" t="inlineStr">
        <is>
          <t>Ryan</t>
        </is>
      </c>
      <c r="T1275" t="inlineStr">
        <is>
          <t>2024-12</t>
        </is>
      </c>
    </row>
    <row r="1276">
      <c r="A1276" s="16" t="n">
        <v>45174</v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A</t>
        </is>
      </c>
      <c r="G1276" t="inlineStr">
        <is>
          <t>Retail</t>
        </is>
      </c>
      <c r="H1276" t="n">
        <v>0.1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Cust 7098</t>
        </is>
      </c>
      <c r="P1276" t="n">
        <v>49.23</v>
      </c>
      <c r="Q1276" s="16" t="n">
        <v>45174</v>
      </c>
      <c r="R1276" s="16" t="n">
        <v>45179</v>
      </c>
      <c r="S1276" t="inlineStr">
        <is>
          <t>Wendy</t>
        </is>
      </c>
      <c r="T1276" t="inlineStr">
        <is>
          <t>2023-09</t>
        </is>
      </c>
    </row>
    <row r="1277">
      <c r="A1277" s="16" t="n">
        <v>45139</v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C</t>
        </is>
      </c>
      <c r="G1277" t="inlineStr">
        <is>
          <t>Retail</t>
        </is>
      </c>
      <c r="H1277" t="n">
        <v>0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Cust 8300</t>
        </is>
      </c>
      <c r="P1277" t="n">
        <v>32.04</v>
      </c>
      <c r="Q1277" s="16" t="n">
        <v>45139</v>
      </c>
      <c r="R1277" s="16" t="n">
        <v>45149</v>
      </c>
      <c r="S1277" t="inlineStr">
        <is>
          <t>Wendy</t>
        </is>
      </c>
      <c r="T1277" t="inlineStr">
        <is>
          <t>2023-08</t>
        </is>
      </c>
    </row>
    <row r="1278">
      <c r="A1278" s="16" t="n">
        <v>44932</v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0.15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Cust 9557</t>
        </is>
      </c>
      <c r="P1278" t="n">
        <v>30.12</v>
      </c>
      <c r="Q1278" s="16" t="n">
        <v>44932</v>
      </c>
      <c r="R1278" s="16" t="n">
        <v>44934</v>
      </c>
      <c r="S1278" t="inlineStr">
        <is>
          <t>Cameron</t>
        </is>
      </c>
      <c r="T1278" t="inlineStr">
        <is>
          <t>2023-01</t>
        </is>
      </c>
    </row>
    <row r="1279">
      <c r="A1279" s="16" t="n">
        <v>45779</v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0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Cust 8787</t>
        </is>
      </c>
      <c r="P1279" t="n">
        <v>48.57</v>
      </c>
      <c r="Q1279" s="16" t="n">
        <v>45779</v>
      </c>
      <c r="R1279" s="16" t="n">
        <v>45783</v>
      </c>
      <c r="S1279" t="inlineStr">
        <is>
          <t>Cameron</t>
        </is>
      </c>
      <c r="T1279" t="inlineStr">
        <is>
          <t>2025-05</t>
        </is>
      </c>
    </row>
    <row r="1280">
      <c r="A1280" s="16" t="n">
        <v>45281</v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D</t>
        </is>
      </c>
      <c r="G1280" t="inlineStr">
        <is>
          <t>Retail</t>
        </is>
      </c>
      <c r="H1280" t="n">
        <v>0.05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n">
        <v/>
      </c>
      <c r="M1280" t="n">
        <v>0</v>
      </c>
      <c r="N1280" t="inlineStr">
        <is>
          <t>REG101278</t>
        </is>
      </c>
      <c r="O1280" t="inlineStr">
        <is>
          <t>Cust 9717</t>
        </is>
      </c>
      <c r="P1280" t="n">
        <v>35.52</v>
      </c>
      <c r="Q1280" s="16" t="n">
        <v>45281</v>
      </c>
      <c r="R1280" s="16" t="n">
        <v>45288</v>
      </c>
      <c r="S1280" t="inlineStr">
        <is>
          <t>Wendy</t>
        </is>
      </c>
      <c r="T1280" t="inlineStr">
        <is>
          <t>2023-12</t>
        </is>
      </c>
    </row>
    <row r="1281">
      <c r="A1281" s="16" t="n">
        <v>45545</v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B</t>
        </is>
      </c>
      <c r="G1281" t="inlineStr">
        <is>
          <t>Wholesale</t>
        </is>
      </c>
      <c r="H1281" t="n">
        <v>0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Cust 2719</t>
        </is>
      </c>
      <c r="P1281" t="n">
        <v>16.08</v>
      </c>
      <c r="Q1281" s="16" t="n">
        <v>45545</v>
      </c>
      <c r="R1281" s="16" t="n">
        <v>45549</v>
      </c>
      <c r="S1281" t="inlineStr">
        <is>
          <t>Eric</t>
        </is>
      </c>
      <c r="T1281" t="inlineStr">
        <is>
          <t>2024-09</t>
        </is>
      </c>
    </row>
    <row r="1282">
      <c r="A1282" s="16" t="n">
        <v>45387</v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D</t>
        </is>
      </c>
      <c r="G1282" t="inlineStr">
        <is>
          <t>Retail</t>
        </is>
      </c>
      <c r="H1282" t="n">
        <v>0.15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Cust 6203</t>
        </is>
      </c>
      <c r="P1282" t="n">
        <v>8.48</v>
      </c>
      <c r="Q1282" s="16" t="n">
        <v>45387</v>
      </c>
      <c r="R1282" s="16" t="n">
        <v>45392</v>
      </c>
      <c r="S1282" t="inlineStr">
        <is>
          <t>Cameron</t>
        </is>
      </c>
      <c r="T1282" t="inlineStr">
        <is>
          <t>2024-04</t>
        </is>
      </c>
    </row>
    <row r="1283">
      <c r="A1283" s="16" t="n">
        <v>45133</v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0.15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Cust 9151</t>
        </is>
      </c>
      <c r="P1283" t="n">
        <v>40.68</v>
      </c>
      <c r="Q1283" s="16" t="n">
        <v>45133</v>
      </c>
      <c r="R1283" s="16" t="n">
        <v>45138</v>
      </c>
      <c r="S1283" t="inlineStr">
        <is>
          <t>Eric</t>
        </is>
      </c>
      <c r="T1283" t="inlineStr">
        <is>
          <t>2023-07</t>
        </is>
      </c>
    </row>
    <row r="1284">
      <c r="A1284" s="16" t="n">
        <v>45242</v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A</t>
        </is>
      </c>
      <c r="G1284" t="inlineStr">
        <is>
          <t>Retail</t>
        </is>
      </c>
      <c r="H1284" t="n">
        <v>0.05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Cust 5096</t>
        </is>
      </c>
      <c r="P1284" t="n">
        <v>48.94</v>
      </c>
      <c r="Q1284" s="16" t="n">
        <v>45242</v>
      </c>
      <c r="R1284" s="16" t="n">
        <v>45244</v>
      </c>
      <c r="S1284" t="inlineStr">
        <is>
          <t>Eric</t>
        </is>
      </c>
      <c r="T1284" t="inlineStr">
        <is>
          <t>2023-11</t>
        </is>
      </c>
    </row>
    <row r="1285">
      <c r="A1285" s="16" t="n">
        <v>45765</v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C</t>
        </is>
      </c>
      <c r="G1285" t="inlineStr">
        <is>
          <t>Retail</t>
        </is>
      </c>
      <c r="H1285" t="n">
        <v>0.05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Cust 4250</t>
        </is>
      </c>
      <c r="P1285" t="n">
        <v>22.12</v>
      </c>
      <c r="Q1285" s="16" t="n">
        <v>45765</v>
      </c>
      <c r="R1285" s="16" t="n">
        <v>45767</v>
      </c>
      <c r="S1285" t="inlineStr">
        <is>
          <t>Cameron</t>
        </is>
      </c>
      <c r="T1285" t="inlineStr">
        <is>
          <t>2025-04</t>
        </is>
      </c>
    </row>
    <row r="1286">
      <c r="A1286" s="16" t="n">
        <v>45150</v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C</t>
        </is>
      </c>
      <c r="G1286" t="inlineStr">
        <is>
          <t>Wholesale</t>
        </is>
      </c>
      <c r="H1286" t="n">
        <v>0.05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n">
        <v/>
      </c>
      <c r="M1286" t="n">
        <v>1</v>
      </c>
      <c r="N1286" t="inlineStr">
        <is>
          <t>REG101284</t>
        </is>
      </c>
      <c r="O1286" t="inlineStr">
        <is>
          <t>Cust 1276</t>
        </is>
      </c>
      <c r="P1286" t="n">
        <v>23.19</v>
      </c>
      <c r="Q1286" s="16" t="n">
        <v>45150</v>
      </c>
      <c r="R1286" s="16" t="n">
        <v>45157</v>
      </c>
      <c r="S1286" t="inlineStr">
        <is>
          <t>Sophie</t>
        </is>
      </c>
      <c r="T1286" t="inlineStr">
        <is>
          <t>2023-08</t>
        </is>
      </c>
    </row>
    <row r="1287">
      <c r="A1287" s="16" t="n">
        <v>45638</v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D</t>
        </is>
      </c>
      <c r="G1287" t="inlineStr">
        <is>
          <t>Wholesale</t>
        </is>
      </c>
      <c r="H1287" t="n">
        <v>0.1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Cust 6063</t>
        </is>
      </c>
      <c r="P1287" t="n">
        <v>26.37</v>
      </c>
      <c r="Q1287" s="16" t="n">
        <v>45638</v>
      </c>
      <c r="R1287" s="16" t="n">
        <v>45647</v>
      </c>
      <c r="S1287" t="inlineStr">
        <is>
          <t>Wendy</t>
        </is>
      </c>
      <c r="T1287" t="inlineStr">
        <is>
          <t>2024-12</t>
        </is>
      </c>
    </row>
    <row r="1288">
      <c r="A1288" s="16" t="n">
        <v>45784</v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D</t>
        </is>
      </c>
      <c r="G1288" t="inlineStr">
        <is>
          <t>Retail</t>
        </is>
      </c>
      <c r="H1288" t="n">
        <v>0.05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Cust 7604</t>
        </is>
      </c>
      <c r="P1288" t="n">
        <v>33.65</v>
      </c>
      <c r="Q1288" s="16" t="n">
        <v>45784</v>
      </c>
      <c r="R1288" s="16" t="n">
        <v>45790</v>
      </c>
      <c r="S1288" t="inlineStr">
        <is>
          <t>Wendy</t>
        </is>
      </c>
      <c r="T1288" t="inlineStr">
        <is>
          <t>2025-05</t>
        </is>
      </c>
    </row>
    <row r="1289">
      <c r="A1289" s="16" t="n">
        <v>45726</v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D</t>
        </is>
      </c>
      <c r="G1289" t="inlineStr">
        <is>
          <t>Wholesale</t>
        </is>
      </c>
      <c r="H1289" t="n">
        <v>0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n">
        <v/>
      </c>
      <c r="M1289" t="n">
        <v>1</v>
      </c>
      <c r="N1289" t="inlineStr">
        <is>
          <t>REG101287</t>
        </is>
      </c>
      <c r="O1289" t="inlineStr">
        <is>
          <t>Cust 9402</t>
        </is>
      </c>
      <c r="P1289" t="n">
        <v>11.67</v>
      </c>
      <c r="Q1289" s="16" t="n">
        <v>45726</v>
      </c>
      <c r="R1289" s="16" t="n">
        <v>45729</v>
      </c>
      <c r="S1289" t="inlineStr">
        <is>
          <t>Eric</t>
        </is>
      </c>
      <c r="T1289" t="inlineStr">
        <is>
          <t>2025-03</t>
        </is>
      </c>
    </row>
    <row r="1290">
      <c r="A1290" s="16" t="n">
        <v>45809</v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B</t>
        </is>
      </c>
      <c r="G1290" t="inlineStr">
        <is>
          <t>Retail</t>
        </is>
      </c>
      <c r="H1290" t="n">
        <v>0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n">
        <v/>
      </c>
      <c r="M1290" t="n">
        <v>0</v>
      </c>
      <c r="N1290" t="inlineStr">
        <is>
          <t>REG101288</t>
        </is>
      </c>
      <c r="O1290" t="inlineStr">
        <is>
          <t>Cust 4398</t>
        </is>
      </c>
      <c r="P1290" t="n">
        <v>30.21</v>
      </c>
      <c r="Q1290" s="16" t="n">
        <v>45809</v>
      </c>
      <c r="R1290" s="16" t="n">
        <v>45818</v>
      </c>
      <c r="S1290" t="inlineStr">
        <is>
          <t>Eric</t>
        </is>
      </c>
      <c r="T1290" t="inlineStr">
        <is>
          <t>2025-06</t>
        </is>
      </c>
    </row>
    <row r="1291">
      <c r="A1291" s="16" t="n">
        <v>45796</v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B</t>
        </is>
      </c>
      <c r="G1291" t="inlineStr">
        <is>
          <t>Retail</t>
        </is>
      </c>
      <c r="H1291" t="n">
        <v>0.15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Cust 8770</t>
        </is>
      </c>
      <c r="P1291" t="n">
        <v>5.82</v>
      </c>
      <c r="Q1291" s="16" t="n">
        <v>45796</v>
      </c>
      <c r="R1291" s="16" t="n">
        <v>45798</v>
      </c>
      <c r="S1291" t="inlineStr">
        <is>
          <t>Wendy</t>
        </is>
      </c>
      <c r="T1291" t="inlineStr">
        <is>
          <t>2025-05</t>
        </is>
      </c>
    </row>
    <row r="1292">
      <c r="A1292" s="16" t="n">
        <v>44965</v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D</t>
        </is>
      </c>
      <c r="G1292" t="inlineStr">
        <is>
          <t>Wholesale</t>
        </is>
      </c>
      <c r="H1292" t="n">
        <v>0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n">
        <v/>
      </c>
      <c r="M1292" t="n">
        <v>0</v>
      </c>
      <c r="N1292" t="inlineStr">
        <is>
          <t>REG101290</t>
        </is>
      </c>
      <c r="O1292" t="inlineStr">
        <is>
          <t>Cust 2148</t>
        </is>
      </c>
      <c r="P1292" t="n">
        <v>43.86</v>
      </c>
      <c r="Q1292" s="16" t="n">
        <v>44965</v>
      </c>
      <c r="R1292" s="16" t="n">
        <v>44973</v>
      </c>
      <c r="S1292" t="inlineStr">
        <is>
          <t>Eric</t>
        </is>
      </c>
      <c r="T1292" t="inlineStr">
        <is>
          <t>2023-02</t>
        </is>
      </c>
    </row>
    <row r="1293">
      <c r="A1293" s="16" t="n">
        <v>45771</v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0.1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n">
        <v/>
      </c>
      <c r="M1293" t="n">
        <v>0</v>
      </c>
      <c r="N1293" t="inlineStr">
        <is>
          <t>REG101291</t>
        </is>
      </c>
      <c r="O1293" t="inlineStr">
        <is>
          <t>Cust 4107</t>
        </is>
      </c>
      <c r="P1293" t="n">
        <v>41.78</v>
      </c>
      <c r="Q1293" s="16" t="n">
        <v>45771</v>
      </c>
      <c r="R1293" s="16" t="n">
        <v>45780</v>
      </c>
      <c r="S1293" t="inlineStr">
        <is>
          <t>Cameron</t>
        </is>
      </c>
      <c r="T1293" t="inlineStr">
        <is>
          <t>2025-04</t>
        </is>
      </c>
    </row>
    <row r="1294">
      <c r="A1294" s="16" t="n">
        <v>45536</v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B</t>
        </is>
      </c>
      <c r="G1294" t="inlineStr">
        <is>
          <t>Wholesale</t>
        </is>
      </c>
      <c r="H1294" t="n">
        <v>0.1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Cust 4450</t>
        </is>
      </c>
      <c r="P1294" t="n">
        <v>31.44</v>
      </c>
      <c r="Q1294" s="16" t="n">
        <v>45536</v>
      </c>
      <c r="R1294" s="16" t="n">
        <v>45543</v>
      </c>
      <c r="S1294" t="inlineStr">
        <is>
          <t>Ryan</t>
        </is>
      </c>
      <c r="T1294" t="inlineStr">
        <is>
          <t>2024-09</t>
        </is>
      </c>
    </row>
    <row r="1295">
      <c r="A1295" s="16" t="n">
        <v>45603</v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C</t>
        </is>
      </c>
      <c r="G1295" t="inlineStr">
        <is>
          <t>Retail</t>
        </is>
      </c>
      <c r="H1295" t="n">
        <v>0.05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n">
        <v/>
      </c>
      <c r="M1295" t="n">
        <v>0</v>
      </c>
      <c r="N1295" t="inlineStr">
        <is>
          <t>REG101293</t>
        </is>
      </c>
      <c r="O1295" t="inlineStr">
        <is>
          <t>Cust 8233</t>
        </is>
      </c>
      <c r="P1295" t="n">
        <v>13.97</v>
      </c>
      <c r="Q1295" s="16" t="n">
        <v>45603</v>
      </c>
      <c r="R1295" s="16" t="n">
        <v>45609</v>
      </c>
      <c r="S1295" t="inlineStr">
        <is>
          <t>Cameron</t>
        </is>
      </c>
      <c r="T1295" t="inlineStr">
        <is>
          <t>2024-11</t>
        </is>
      </c>
    </row>
    <row r="1296">
      <c r="A1296" s="16" t="n">
        <v>45625</v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0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n">
        <v/>
      </c>
      <c r="M1296" t="n">
        <v>1</v>
      </c>
      <c r="N1296" t="inlineStr">
        <is>
          <t>REG101294</t>
        </is>
      </c>
      <c r="O1296" t="inlineStr">
        <is>
          <t>Cust 9012</t>
        </is>
      </c>
      <c r="P1296" t="n">
        <v>35.92</v>
      </c>
      <c r="Q1296" s="16" t="n">
        <v>45625</v>
      </c>
      <c r="R1296" s="16" t="n">
        <v>45628</v>
      </c>
      <c r="S1296" t="inlineStr">
        <is>
          <t>Eric</t>
        </is>
      </c>
      <c r="T1296" t="inlineStr">
        <is>
          <t>2024-11</t>
        </is>
      </c>
    </row>
    <row r="1297">
      <c r="A1297" s="16" t="n">
        <v>45026</v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C</t>
        </is>
      </c>
      <c r="G1297" t="inlineStr">
        <is>
          <t>Retail</t>
        </is>
      </c>
      <c r="H1297" t="n">
        <v>0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n">
        <v/>
      </c>
      <c r="M1297" t="n">
        <v>1</v>
      </c>
      <c r="N1297" t="inlineStr">
        <is>
          <t>REG101295</t>
        </is>
      </c>
      <c r="O1297" t="inlineStr">
        <is>
          <t>Cust 1496</t>
        </is>
      </c>
      <c r="P1297" t="n">
        <v>13.19</v>
      </c>
      <c r="Q1297" s="16" t="n">
        <v>45026</v>
      </c>
      <c r="R1297" s="16" t="n">
        <v>45036</v>
      </c>
      <c r="S1297" t="inlineStr">
        <is>
          <t>Wendy</t>
        </is>
      </c>
      <c r="T1297" t="inlineStr">
        <is>
          <t>2023-04</t>
        </is>
      </c>
    </row>
    <row r="1298">
      <c r="A1298" s="16" t="n">
        <v>45301</v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0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Cust 9365</t>
        </is>
      </c>
      <c r="P1298" t="n">
        <v>15.38</v>
      </c>
      <c r="Q1298" s="16" t="n">
        <v>45301</v>
      </c>
      <c r="R1298" s="16" t="n">
        <v>45307</v>
      </c>
      <c r="S1298" t="inlineStr">
        <is>
          <t>Ryan</t>
        </is>
      </c>
      <c r="T1298" t="inlineStr">
        <is>
          <t>2024-01</t>
        </is>
      </c>
    </row>
    <row r="1299">
      <c r="A1299" s="16" t="n">
        <v>45794</v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C</t>
        </is>
      </c>
      <c r="G1299" t="inlineStr">
        <is>
          <t>Retail</t>
        </is>
      </c>
      <c r="H1299" t="n">
        <v>0.05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Cust 1392</t>
        </is>
      </c>
      <c r="P1299" t="n">
        <v>49.26</v>
      </c>
      <c r="Q1299" s="16" t="n">
        <v>45794</v>
      </c>
      <c r="R1299" s="16" t="n">
        <v>45800</v>
      </c>
      <c r="S1299" t="inlineStr">
        <is>
          <t>Sophie</t>
        </is>
      </c>
      <c r="T1299" t="inlineStr">
        <is>
          <t>2025-05</t>
        </is>
      </c>
    </row>
    <row r="1300">
      <c r="A1300" s="16" t="n">
        <v>45499</v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0.15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Cust 3474</t>
        </is>
      </c>
      <c r="P1300" t="n">
        <v>38.72</v>
      </c>
      <c r="Q1300" s="16" t="n">
        <v>45499</v>
      </c>
      <c r="R1300" s="16" t="n">
        <v>45503</v>
      </c>
      <c r="S1300" t="inlineStr">
        <is>
          <t>Cameron</t>
        </is>
      </c>
      <c r="T1300" t="inlineStr">
        <is>
          <t>2024-07</t>
        </is>
      </c>
    </row>
    <row r="1301">
      <c r="A1301" s="16" t="n">
        <v>45652</v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D</t>
        </is>
      </c>
      <c r="G1301" t="inlineStr">
        <is>
          <t>Retail</t>
        </is>
      </c>
      <c r="H1301" t="n">
        <v>0.15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Cust 2111</t>
        </is>
      </c>
      <c r="P1301" t="n">
        <v>25.84</v>
      </c>
      <c r="Q1301" s="16" t="n">
        <v>45652</v>
      </c>
      <c r="R1301" s="16" t="n">
        <v>45660</v>
      </c>
      <c r="S1301" t="inlineStr">
        <is>
          <t>Sophie</t>
        </is>
      </c>
      <c r="T1301" t="inlineStr">
        <is>
          <t>2024-12</t>
        </is>
      </c>
    </row>
    <row r="1302">
      <c r="A1302" s="16" t="n">
        <v>45680</v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C</t>
        </is>
      </c>
      <c r="G1302" t="inlineStr">
        <is>
          <t>Retail</t>
        </is>
      </c>
      <c r="H1302" t="n">
        <v>0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Cust 9506</t>
        </is>
      </c>
      <c r="P1302" t="n">
        <v>44.92</v>
      </c>
      <c r="Q1302" s="16" t="n">
        <v>45680</v>
      </c>
      <c r="R1302" s="16" t="n">
        <v>45688</v>
      </c>
      <c r="S1302" t="inlineStr">
        <is>
          <t>Eric</t>
        </is>
      </c>
      <c r="T1302" t="inlineStr">
        <is>
          <t>2025-01</t>
        </is>
      </c>
    </row>
    <row r="1303">
      <c r="A1303" s="16" t="n">
        <v>45376</v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B</t>
        </is>
      </c>
      <c r="G1303" t="inlineStr">
        <is>
          <t>Wholesale</t>
        </is>
      </c>
      <c r="H1303" t="n">
        <v>0.1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n">
        <v/>
      </c>
      <c r="M1303" t="n">
        <v>0</v>
      </c>
      <c r="N1303" t="inlineStr">
        <is>
          <t>REG101301</t>
        </is>
      </c>
      <c r="O1303" t="inlineStr">
        <is>
          <t>Cust 2341</t>
        </is>
      </c>
      <c r="P1303" t="n">
        <v>47.23</v>
      </c>
      <c r="Q1303" s="16" t="n">
        <v>45376</v>
      </c>
      <c r="R1303" s="16" t="n">
        <v>45383</v>
      </c>
      <c r="S1303" t="inlineStr">
        <is>
          <t>Sophie</t>
        </is>
      </c>
      <c r="T1303" t="inlineStr">
        <is>
          <t>2024-03</t>
        </is>
      </c>
    </row>
    <row r="1304">
      <c r="A1304" s="16" t="n">
        <v>45720</v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D</t>
        </is>
      </c>
      <c r="G1304" t="inlineStr">
        <is>
          <t>Wholesale</t>
        </is>
      </c>
      <c r="H1304" t="n">
        <v>0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Cust 7035</t>
        </is>
      </c>
      <c r="P1304" t="n">
        <v>36.72</v>
      </c>
      <c r="Q1304" s="16" t="n">
        <v>45720</v>
      </c>
      <c r="R1304" s="16" t="n">
        <v>45727</v>
      </c>
      <c r="S1304" t="inlineStr">
        <is>
          <t>Cameron</t>
        </is>
      </c>
      <c r="T1304" t="inlineStr">
        <is>
          <t>2025-03</t>
        </is>
      </c>
    </row>
    <row r="1305">
      <c r="A1305" s="16" t="n">
        <v>45219</v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B</t>
        </is>
      </c>
      <c r="G1305" t="inlineStr">
        <is>
          <t>Retail</t>
        </is>
      </c>
      <c r="H1305" t="n">
        <v>0.1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n">
        <v/>
      </c>
      <c r="M1305" t="n">
        <v>1</v>
      </c>
      <c r="N1305" t="inlineStr">
        <is>
          <t>REG101303</t>
        </is>
      </c>
      <c r="O1305" t="inlineStr">
        <is>
          <t>Cust 5935</t>
        </is>
      </c>
      <c r="P1305" t="n">
        <v>32.8</v>
      </c>
      <c r="Q1305" s="16" t="n">
        <v>45219</v>
      </c>
      <c r="R1305" s="16" t="n">
        <v>45223</v>
      </c>
      <c r="S1305" t="inlineStr">
        <is>
          <t>Sophie</t>
        </is>
      </c>
      <c r="T1305" t="inlineStr">
        <is>
          <t>2023-10</t>
        </is>
      </c>
    </row>
    <row r="1306">
      <c r="A1306" s="16" t="n">
        <v>45554</v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B</t>
        </is>
      </c>
      <c r="G1306" t="inlineStr">
        <is>
          <t>Retail</t>
        </is>
      </c>
      <c r="H1306" t="n">
        <v>0.15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Cust 3291</t>
        </is>
      </c>
      <c r="P1306" t="n">
        <v>21.73</v>
      </c>
      <c r="Q1306" s="16" t="n">
        <v>45554</v>
      </c>
      <c r="R1306" s="16" t="n">
        <v>45563</v>
      </c>
      <c r="S1306" t="inlineStr">
        <is>
          <t>Cameron</t>
        </is>
      </c>
      <c r="T1306" t="inlineStr">
        <is>
          <t>2024-09</t>
        </is>
      </c>
    </row>
    <row r="1307">
      <c r="A1307" s="16" t="n">
        <v>45192</v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B</t>
        </is>
      </c>
      <c r="G1307" t="inlineStr">
        <is>
          <t>Retail</t>
        </is>
      </c>
      <c r="H1307" t="n">
        <v>0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Cust 5258</t>
        </is>
      </c>
      <c r="P1307" t="n">
        <v>12.87</v>
      </c>
      <c r="Q1307" s="16" t="n">
        <v>45192</v>
      </c>
      <c r="R1307" s="16" t="n">
        <v>45195</v>
      </c>
      <c r="S1307" t="inlineStr">
        <is>
          <t>Ryan</t>
        </is>
      </c>
      <c r="T1307" t="inlineStr">
        <is>
          <t>2023-09</t>
        </is>
      </c>
    </row>
    <row r="1308">
      <c r="A1308" s="16" t="n">
        <v>45657</v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C</t>
        </is>
      </c>
      <c r="G1308" t="inlineStr">
        <is>
          <t>Retail</t>
        </is>
      </c>
      <c r="H1308" t="n">
        <v>0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Cust 4715</t>
        </is>
      </c>
      <c r="P1308" t="n">
        <v>35.87</v>
      </c>
      <c r="Q1308" s="16" t="n">
        <v>45657</v>
      </c>
      <c r="R1308" s="16" t="n">
        <v>45659</v>
      </c>
      <c r="S1308" t="inlineStr">
        <is>
          <t>Eric</t>
        </is>
      </c>
      <c r="T1308" t="inlineStr">
        <is>
          <t>2024-12</t>
        </is>
      </c>
    </row>
    <row r="1309">
      <c r="A1309" s="16" t="n">
        <v>45314</v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0.05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Cust 3106</t>
        </is>
      </c>
      <c r="P1309" t="n">
        <v>33.19</v>
      </c>
      <c r="Q1309" s="16" t="n">
        <v>45314</v>
      </c>
      <c r="R1309" s="16" t="n">
        <v>45322</v>
      </c>
      <c r="S1309" t="inlineStr">
        <is>
          <t>Ryan</t>
        </is>
      </c>
      <c r="T1309" t="inlineStr">
        <is>
          <t>2024-01</t>
        </is>
      </c>
    </row>
    <row r="1310">
      <c r="A1310" s="16" t="n">
        <v>45090</v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C</t>
        </is>
      </c>
      <c r="G1310" t="inlineStr">
        <is>
          <t>Retail</t>
        </is>
      </c>
      <c r="H1310" t="n">
        <v>0.1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n">
        <v/>
      </c>
      <c r="M1310" t="n">
        <v>0</v>
      </c>
      <c r="N1310" t="inlineStr">
        <is>
          <t>REG101308</t>
        </is>
      </c>
      <c r="O1310" t="inlineStr">
        <is>
          <t>Cust 9606</t>
        </is>
      </c>
      <c r="P1310" t="n">
        <v>10.44</v>
      </c>
      <c r="Q1310" s="16" t="n">
        <v>45090</v>
      </c>
      <c r="R1310" s="16" t="n">
        <v>45100</v>
      </c>
      <c r="S1310" t="inlineStr">
        <is>
          <t>Eric</t>
        </is>
      </c>
      <c r="T1310" t="inlineStr">
        <is>
          <t>2023-06</t>
        </is>
      </c>
    </row>
    <row r="1311">
      <c r="A1311" s="16" t="n">
        <v>45108</v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A</t>
        </is>
      </c>
      <c r="G1311" t="inlineStr">
        <is>
          <t>Wholesale</t>
        </is>
      </c>
      <c r="H1311" t="n">
        <v>0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Cust 9182</t>
        </is>
      </c>
      <c r="P1311" t="n">
        <v>5.46</v>
      </c>
      <c r="Q1311" s="16" t="n">
        <v>45108</v>
      </c>
      <c r="R1311" s="16" t="n">
        <v>45113</v>
      </c>
      <c r="S1311" t="inlineStr">
        <is>
          <t>Eric</t>
        </is>
      </c>
      <c r="T1311" t="inlineStr">
        <is>
          <t>2023-07</t>
        </is>
      </c>
    </row>
    <row r="1312">
      <c r="A1312" s="16" t="n">
        <v>45738</v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D</t>
        </is>
      </c>
      <c r="G1312" t="inlineStr">
        <is>
          <t>Retail</t>
        </is>
      </c>
      <c r="H1312" t="n">
        <v>0.15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Cust 6299</t>
        </is>
      </c>
      <c r="P1312" t="n">
        <v>34.96</v>
      </c>
      <c r="Q1312" s="16" t="n">
        <v>45738</v>
      </c>
      <c r="R1312" s="16" t="n">
        <v>45741</v>
      </c>
      <c r="S1312" t="inlineStr">
        <is>
          <t>Sophie</t>
        </is>
      </c>
      <c r="T1312" t="inlineStr">
        <is>
          <t>2025-03</t>
        </is>
      </c>
    </row>
    <row r="1313">
      <c r="A1313" s="16" t="n">
        <v>45695</v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B</t>
        </is>
      </c>
      <c r="G1313" t="inlineStr">
        <is>
          <t>Wholesale</t>
        </is>
      </c>
      <c r="H1313" t="n">
        <v>0.15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Cust 9628</t>
        </is>
      </c>
      <c r="P1313" t="n">
        <v>41.87</v>
      </c>
      <c r="Q1313" s="16" t="n">
        <v>45695</v>
      </c>
      <c r="R1313" s="16" t="n">
        <v>45703</v>
      </c>
      <c r="S1313" t="inlineStr">
        <is>
          <t>Sophie</t>
        </is>
      </c>
      <c r="T1313" t="inlineStr">
        <is>
          <t>2025-02</t>
        </is>
      </c>
    </row>
    <row r="1314">
      <c r="A1314" s="16" t="n">
        <v>45217</v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Cust 3831</t>
        </is>
      </c>
      <c r="P1314" t="n">
        <v>19.17</v>
      </c>
      <c r="Q1314" s="16" t="n">
        <v>45217</v>
      </c>
      <c r="R1314" s="16" t="n">
        <v>45225</v>
      </c>
      <c r="S1314" t="inlineStr">
        <is>
          <t>Ryan</t>
        </is>
      </c>
      <c r="T1314" t="inlineStr">
        <is>
          <t>2023-10</t>
        </is>
      </c>
    </row>
    <row r="1315">
      <c r="A1315" s="16" t="n">
        <v>45293</v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C</t>
        </is>
      </c>
      <c r="G1315" t="inlineStr">
        <is>
          <t>Wholesale</t>
        </is>
      </c>
      <c r="H1315" t="n">
        <v>0.1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n">
        <v/>
      </c>
      <c r="M1315" t="n">
        <v>0</v>
      </c>
      <c r="N1315" t="inlineStr">
        <is>
          <t>REG101313</t>
        </is>
      </c>
      <c r="O1315" t="inlineStr">
        <is>
          <t>Cust 7955</t>
        </is>
      </c>
      <c r="P1315" t="n">
        <v>38.98</v>
      </c>
      <c r="Q1315" s="16" t="n">
        <v>45293</v>
      </c>
      <c r="R1315" s="16" t="n">
        <v>45302</v>
      </c>
      <c r="S1315" t="inlineStr">
        <is>
          <t>Cameron</t>
        </is>
      </c>
      <c r="T1315" t="inlineStr">
        <is>
          <t>2024-01</t>
        </is>
      </c>
    </row>
    <row r="1316">
      <c r="A1316" s="16" t="n">
        <v>45724</v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B</t>
        </is>
      </c>
      <c r="G1316" t="inlineStr">
        <is>
          <t>Wholesale</t>
        </is>
      </c>
      <c r="H1316" t="n">
        <v>0.15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Cust 3939</t>
        </is>
      </c>
      <c r="P1316" t="n">
        <v>39.87</v>
      </c>
      <c r="Q1316" s="16" t="n">
        <v>45724</v>
      </c>
      <c r="R1316" s="16" t="n">
        <v>45733</v>
      </c>
      <c r="S1316" t="inlineStr">
        <is>
          <t>Sophie</t>
        </is>
      </c>
      <c r="T1316" t="inlineStr">
        <is>
          <t>2025-03</t>
        </is>
      </c>
    </row>
    <row r="1317">
      <c r="A1317" s="16" t="n">
        <v>45110</v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D</t>
        </is>
      </c>
      <c r="G1317" t="inlineStr">
        <is>
          <t>Retail</t>
        </is>
      </c>
      <c r="H1317" t="n">
        <v>0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Cust 7916</t>
        </is>
      </c>
      <c r="P1317" t="n">
        <v>25.54</v>
      </c>
      <c r="Q1317" s="16" t="n">
        <v>45110</v>
      </c>
      <c r="R1317" s="16" t="n">
        <v>45115</v>
      </c>
      <c r="S1317" t="inlineStr">
        <is>
          <t>Wendy</t>
        </is>
      </c>
      <c r="T1317" t="inlineStr">
        <is>
          <t>2023-07</t>
        </is>
      </c>
    </row>
    <row r="1318">
      <c r="A1318" s="16" t="n">
        <v>45245</v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0.1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Cust 2477</t>
        </is>
      </c>
      <c r="P1318" t="n">
        <v>15.43</v>
      </c>
      <c r="Q1318" s="16" t="n">
        <v>45245</v>
      </c>
      <c r="R1318" s="16" t="n">
        <v>45252</v>
      </c>
      <c r="S1318" t="inlineStr">
        <is>
          <t>Ryan</t>
        </is>
      </c>
      <c r="T1318" t="inlineStr">
        <is>
          <t>2023-11</t>
        </is>
      </c>
    </row>
    <row r="1319">
      <c r="A1319" s="16" t="n">
        <v>45332</v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0.1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Cust 3781</t>
        </is>
      </c>
      <c r="P1319" t="n">
        <v>37.14</v>
      </c>
      <c r="Q1319" s="16" t="n">
        <v>45332</v>
      </c>
      <c r="R1319" s="16" t="n">
        <v>45339</v>
      </c>
      <c r="S1319" t="inlineStr">
        <is>
          <t>Wendy</t>
        </is>
      </c>
      <c r="T1319" t="inlineStr">
        <is>
          <t>2024-02</t>
        </is>
      </c>
    </row>
    <row r="1320">
      <c r="A1320" s="16" t="n">
        <v>45756</v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0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n">
        <v/>
      </c>
      <c r="M1320" t="n">
        <v>0</v>
      </c>
      <c r="N1320" t="inlineStr">
        <is>
          <t>REG101318</t>
        </is>
      </c>
      <c r="O1320" t="inlineStr">
        <is>
          <t>Cust 2641</t>
        </is>
      </c>
      <c r="P1320" t="n">
        <v>18.46</v>
      </c>
      <c r="Q1320" s="16" t="n">
        <v>45756</v>
      </c>
      <c r="R1320" s="16" t="n">
        <v>45766</v>
      </c>
      <c r="S1320" t="inlineStr">
        <is>
          <t>Wendy</t>
        </is>
      </c>
      <c r="T1320" t="inlineStr">
        <is>
          <t>2025-04</t>
        </is>
      </c>
    </row>
    <row r="1321">
      <c r="A1321" s="16" t="n">
        <v>45178</v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C</t>
        </is>
      </c>
      <c r="G1321" t="inlineStr">
        <is>
          <t>Wholesale</t>
        </is>
      </c>
      <c r="H1321" t="n">
        <v>0.05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Cust 1969</t>
        </is>
      </c>
      <c r="P1321" t="n">
        <v>12.91</v>
      </c>
      <c r="Q1321" s="16" t="n">
        <v>45178</v>
      </c>
      <c r="R1321" s="16" t="n">
        <v>45181</v>
      </c>
      <c r="S1321" t="inlineStr">
        <is>
          <t>Wendy</t>
        </is>
      </c>
      <c r="T1321" t="inlineStr">
        <is>
          <t>2023-09</t>
        </is>
      </c>
    </row>
    <row r="1322">
      <c r="A1322" s="16" t="n">
        <v>45004</v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0.05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Cust 4494</t>
        </is>
      </c>
      <c r="P1322" t="n">
        <v>26.32</v>
      </c>
      <c r="Q1322" s="16" t="n">
        <v>45004</v>
      </c>
      <c r="R1322" s="16" t="n">
        <v>45011</v>
      </c>
      <c r="S1322" t="inlineStr">
        <is>
          <t>Eric</t>
        </is>
      </c>
      <c r="T1322" t="inlineStr">
        <is>
          <t>2023-03</t>
        </is>
      </c>
    </row>
    <row r="1323">
      <c r="A1323" s="16" t="n">
        <v>45657</v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B</t>
        </is>
      </c>
      <c r="G1323" t="inlineStr">
        <is>
          <t>Wholesale</t>
        </is>
      </c>
      <c r="H1323" t="n">
        <v>0.1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Cust 8850</t>
        </is>
      </c>
      <c r="P1323" t="n">
        <v>6.22</v>
      </c>
      <c r="Q1323" s="16" t="n">
        <v>45657</v>
      </c>
      <c r="R1323" s="16" t="n">
        <v>45659</v>
      </c>
      <c r="S1323" t="inlineStr">
        <is>
          <t>Cameron</t>
        </is>
      </c>
      <c r="T1323" t="inlineStr">
        <is>
          <t>2024-12</t>
        </is>
      </c>
    </row>
    <row r="1324">
      <c r="A1324" s="16" t="n">
        <v>45254</v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D</t>
        </is>
      </c>
      <c r="G1324" t="inlineStr">
        <is>
          <t>Wholesale</t>
        </is>
      </c>
      <c r="H1324" t="n">
        <v>0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Cust 3061</t>
        </is>
      </c>
      <c r="P1324" t="n">
        <v>9.08</v>
      </c>
      <c r="Q1324" s="16" t="n">
        <v>45254</v>
      </c>
      <c r="R1324" s="16" t="n">
        <v>45256</v>
      </c>
      <c r="S1324" t="inlineStr">
        <is>
          <t>Cameron</t>
        </is>
      </c>
      <c r="T1324" t="inlineStr">
        <is>
          <t>2023-11</t>
        </is>
      </c>
    </row>
    <row r="1325">
      <c r="A1325" s="16" t="n">
        <v>45792</v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0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Cust 4732</t>
        </is>
      </c>
      <c r="P1325" t="n">
        <v>38.89</v>
      </c>
      <c r="Q1325" s="16" t="n">
        <v>45792</v>
      </c>
      <c r="R1325" s="16" t="n">
        <v>45799</v>
      </c>
      <c r="S1325" t="inlineStr">
        <is>
          <t>Eric</t>
        </is>
      </c>
      <c r="T1325" t="inlineStr">
        <is>
          <t>2025-05</t>
        </is>
      </c>
    </row>
    <row r="1326">
      <c r="A1326" s="16" t="n">
        <v>45753</v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0.15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Cust 9889</t>
        </is>
      </c>
      <c r="P1326" t="n">
        <v>7.54</v>
      </c>
      <c r="Q1326" s="16" t="n">
        <v>45753</v>
      </c>
      <c r="R1326" s="16" t="n">
        <v>45758</v>
      </c>
      <c r="S1326" t="inlineStr">
        <is>
          <t>Sophie</t>
        </is>
      </c>
      <c r="T1326" t="inlineStr">
        <is>
          <t>2025-04</t>
        </is>
      </c>
    </row>
    <row r="1327">
      <c r="A1327" s="16" t="n">
        <v>45328</v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D</t>
        </is>
      </c>
      <c r="G1327" t="inlineStr">
        <is>
          <t>Wholesale</t>
        </is>
      </c>
      <c r="H1327" t="n">
        <v>0.1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Cust 2165</t>
        </is>
      </c>
      <c r="P1327" t="n">
        <v>9.98</v>
      </c>
      <c r="Q1327" s="16" t="n">
        <v>45328</v>
      </c>
      <c r="R1327" s="16" t="n">
        <v>45336</v>
      </c>
      <c r="S1327" t="inlineStr">
        <is>
          <t>Sophie</t>
        </is>
      </c>
      <c r="T1327" t="inlineStr">
        <is>
          <t>2024-02</t>
        </is>
      </c>
    </row>
    <row r="1328">
      <c r="A1328" s="16" t="n">
        <v>45791</v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D</t>
        </is>
      </c>
      <c r="G1328" t="inlineStr">
        <is>
          <t>Wholesale</t>
        </is>
      </c>
      <c r="H1328" t="n">
        <v>0.1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Cust 6121</t>
        </is>
      </c>
      <c r="P1328" t="n">
        <v>6.49</v>
      </c>
      <c r="Q1328" s="16" t="n">
        <v>45791</v>
      </c>
      <c r="R1328" s="16" t="n">
        <v>45797</v>
      </c>
      <c r="S1328" t="inlineStr">
        <is>
          <t>Ryan</t>
        </is>
      </c>
      <c r="T1328" t="inlineStr">
        <is>
          <t>2025-05</t>
        </is>
      </c>
    </row>
    <row r="1329">
      <c r="A1329" s="16" t="n">
        <v>44939</v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D</t>
        </is>
      </c>
      <c r="G1329" t="inlineStr">
        <is>
          <t>Wholesale</t>
        </is>
      </c>
      <c r="H1329" t="n">
        <v>0.05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Cust 4071</t>
        </is>
      </c>
      <c r="P1329" t="n">
        <v>26.49</v>
      </c>
      <c r="Q1329" s="16" t="n">
        <v>44939</v>
      </c>
      <c r="R1329" s="16" t="n">
        <v>44944</v>
      </c>
      <c r="S1329" t="inlineStr">
        <is>
          <t>Eric</t>
        </is>
      </c>
      <c r="T1329" t="inlineStr">
        <is>
          <t>2023-01</t>
        </is>
      </c>
    </row>
    <row r="1330">
      <c r="A1330" s="16" t="n">
        <v>45341</v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B</t>
        </is>
      </c>
      <c r="G1330" t="inlineStr">
        <is>
          <t>Wholesale</t>
        </is>
      </c>
      <c r="H1330" t="n">
        <v>0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Cust 5249</t>
        </is>
      </c>
      <c r="P1330" t="n">
        <v>24.98</v>
      </c>
      <c r="Q1330" s="16" t="n">
        <v>45341</v>
      </c>
      <c r="R1330" s="16" t="n">
        <v>45350</v>
      </c>
      <c r="S1330" t="inlineStr">
        <is>
          <t>Ryan</t>
        </is>
      </c>
      <c r="T1330" t="inlineStr">
        <is>
          <t>2024-02</t>
        </is>
      </c>
    </row>
    <row r="1331">
      <c r="A1331" s="16" t="n">
        <v>45206</v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B</t>
        </is>
      </c>
      <c r="G1331" t="inlineStr">
        <is>
          <t>Wholesale</t>
        </is>
      </c>
      <c r="H1331" t="n">
        <v>0.15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n">
        <v/>
      </c>
      <c r="M1331" t="n">
        <v>0</v>
      </c>
      <c r="N1331" t="inlineStr">
        <is>
          <t>REG101329</t>
        </is>
      </c>
      <c r="O1331" t="inlineStr">
        <is>
          <t>Cust 4262</t>
        </is>
      </c>
      <c r="P1331" t="n">
        <v>27.45</v>
      </c>
      <c r="Q1331" s="16" t="n">
        <v>45206</v>
      </c>
      <c r="R1331" s="16" t="n">
        <v>45211</v>
      </c>
      <c r="S1331" t="inlineStr">
        <is>
          <t>Sophie</t>
        </is>
      </c>
      <c r="T1331" t="inlineStr">
        <is>
          <t>2023-10</t>
        </is>
      </c>
    </row>
    <row r="1332">
      <c r="A1332" s="16" t="n">
        <v>45552</v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B</t>
        </is>
      </c>
      <c r="G1332" t="inlineStr">
        <is>
          <t>Retail</t>
        </is>
      </c>
      <c r="H1332" t="n">
        <v>0.15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Cust 9314</t>
        </is>
      </c>
      <c r="P1332" t="n">
        <v>28.71</v>
      </c>
      <c r="Q1332" s="16" t="n">
        <v>45552</v>
      </c>
      <c r="R1332" s="16" t="n">
        <v>45554</v>
      </c>
      <c r="S1332" t="inlineStr">
        <is>
          <t>Cameron</t>
        </is>
      </c>
      <c r="T1332" t="inlineStr">
        <is>
          <t>2024-09</t>
        </is>
      </c>
    </row>
    <row r="1333">
      <c r="A1333" s="16" t="n">
        <v>45053</v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A</t>
        </is>
      </c>
      <c r="G1333" t="inlineStr">
        <is>
          <t>Retail</t>
        </is>
      </c>
      <c r="H1333" t="n">
        <v>0.05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Cust 7703</t>
        </is>
      </c>
      <c r="P1333" t="n">
        <v>17.03</v>
      </c>
      <c r="Q1333" s="16" t="n">
        <v>45053</v>
      </c>
      <c r="R1333" s="16" t="n">
        <v>45063</v>
      </c>
      <c r="S1333" t="inlineStr">
        <is>
          <t>Ryan</t>
        </is>
      </c>
      <c r="T1333" t="inlineStr">
        <is>
          <t>2023-05</t>
        </is>
      </c>
    </row>
    <row r="1334">
      <c r="A1334" s="16" t="n">
        <v>45272</v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B</t>
        </is>
      </c>
      <c r="G1334" t="inlineStr">
        <is>
          <t>Retail</t>
        </is>
      </c>
      <c r="H1334" t="n">
        <v>0.15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Cust 8367</t>
        </is>
      </c>
      <c r="P1334" t="n">
        <v>29.11</v>
      </c>
      <c r="Q1334" s="16" t="n">
        <v>45272</v>
      </c>
      <c r="R1334" s="16" t="n">
        <v>45281</v>
      </c>
      <c r="S1334" t="inlineStr">
        <is>
          <t>Ryan</t>
        </is>
      </c>
      <c r="T1334" t="inlineStr">
        <is>
          <t>2023-12</t>
        </is>
      </c>
    </row>
    <row r="1335">
      <c r="A1335" s="16" t="n">
        <v>45727</v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0.05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Cust 7872</t>
        </is>
      </c>
      <c r="P1335" t="n">
        <v>16.39</v>
      </c>
      <c r="Q1335" s="16" t="n">
        <v>45727</v>
      </c>
      <c r="R1335" s="16" t="n">
        <v>45730</v>
      </c>
      <c r="S1335" t="inlineStr">
        <is>
          <t>Cameron</t>
        </is>
      </c>
      <c r="T1335" t="inlineStr">
        <is>
          <t>2025-03</t>
        </is>
      </c>
    </row>
    <row r="1336">
      <c r="A1336" s="16" t="n">
        <v>45380</v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A</t>
        </is>
      </c>
      <c r="G1336" t="inlineStr">
        <is>
          <t>Retail</t>
        </is>
      </c>
      <c r="H1336" t="n">
        <v>0.05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n">
        <v/>
      </c>
      <c r="M1336" t="n">
        <v>0</v>
      </c>
      <c r="N1336" t="inlineStr">
        <is>
          <t>REG101334</t>
        </is>
      </c>
      <c r="O1336" t="inlineStr">
        <is>
          <t>Cust 4732</t>
        </is>
      </c>
      <c r="P1336" t="n">
        <v>7.59</v>
      </c>
      <c r="Q1336" s="16" t="n">
        <v>45380</v>
      </c>
      <c r="R1336" s="16" t="n">
        <v>45389</v>
      </c>
      <c r="S1336" t="inlineStr">
        <is>
          <t>Eric</t>
        </is>
      </c>
      <c r="T1336" t="inlineStr">
        <is>
          <t>2024-03</t>
        </is>
      </c>
    </row>
    <row r="1337">
      <c r="A1337" s="16" t="n">
        <v>45501</v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D</t>
        </is>
      </c>
      <c r="G1337" t="inlineStr">
        <is>
          <t>Wholesale</t>
        </is>
      </c>
      <c r="H1337" t="n">
        <v>0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Cust 1007</t>
        </is>
      </c>
      <c r="P1337" t="n">
        <v>49.09</v>
      </c>
      <c r="Q1337" s="16" t="n">
        <v>45501</v>
      </c>
      <c r="R1337" s="16" t="n">
        <v>45509</v>
      </c>
      <c r="S1337" t="inlineStr">
        <is>
          <t>Wendy</t>
        </is>
      </c>
      <c r="T1337" t="inlineStr">
        <is>
          <t>2024-07</t>
        </is>
      </c>
    </row>
    <row r="1338">
      <c r="A1338" s="16" t="n">
        <v>45484</v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0.1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Cust 1946</t>
        </is>
      </c>
      <c r="P1338" t="n">
        <v>10.34</v>
      </c>
      <c r="Q1338" s="16" t="n">
        <v>45484</v>
      </c>
      <c r="R1338" s="16" t="n">
        <v>45494</v>
      </c>
      <c r="S1338" t="inlineStr">
        <is>
          <t>Sophie</t>
        </is>
      </c>
      <c r="T1338" t="inlineStr">
        <is>
          <t>2024-07</t>
        </is>
      </c>
    </row>
    <row r="1339">
      <c r="A1339" s="16" t="n">
        <v>45478</v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0.15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n">
        <v/>
      </c>
      <c r="M1339" t="n">
        <v>1</v>
      </c>
      <c r="N1339" t="inlineStr">
        <is>
          <t>REG101337</t>
        </is>
      </c>
      <c r="O1339" t="inlineStr">
        <is>
          <t>Cust 6347</t>
        </is>
      </c>
      <c r="P1339" t="n">
        <v>18.02</v>
      </c>
      <c r="Q1339" s="16" t="n">
        <v>45478</v>
      </c>
      <c r="R1339" s="16" t="n">
        <v>45487</v>
      </c>
      <c r="S1339" t="inlineStr">
        <is>
          <t>Wendy</t>
        </is>
      </c>
      <c r="T1339" t="inlineStr">
        <is>
          <t>2024-07</t>
        </is>
      </c>
    </row>
    <row r="1340">
      <c r="A1340" s="16" t="n">
        <v>45370</v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C</t>
        </is>
      </c>
      <c r="G1340" t="inlineStr">
        <is>
          <t>Wholesale</t>
        </is>
      </c>
      <c r="H1340" t="n">
        <v>0.05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Cust 6499</t>
        </is>
      </c>
      <c r="P1340" t="n">
        <v>25.25</v>
      </c>
      <c r="Q1340" s="16" t="n">
        <v>45370</v>
      </c>
      <c r="R1340" s="16" t="n">
        <v>45375</v>
      </c>
      <c r="S1340" t="inlineStr">
        <is>
          <t>Eric</t>
        </is>
      </c>
      <c r="T1340" t="inlineStr">
        <is>
          <t>2024-03</t>
        </is>
      </c>
    </row>
    <row r="1341">
      <c r="A1341" s="16" t="n">
        <v>45285</v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0.1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Cust 1420</t>
        </is>
      </c>
      <c r="P1341" t="n">
        <v>14.87</v>
      </c>
      <c r="Q1341" s="16" t="n">
        <v>45285</v>
      </c>
      <c r="R1341" s="16" t="n">
        <v>45289</v>
      </c>
      <c r="S1341" t="inlineStr">
        <is>
          <t>Cameron</t>
        </is>
      </c>
      <c r="T1341" t="inlineStr">
        <is>
          <t>2023-12</t>
        </is>
      </c>
    </row>
    <row r="1342">
      <c r="A1342" s="16" t="n">
        <v>45629</v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C</t>
        </is>
      </c>
      <c r="G1342" t="inlineStr">
        <is>
          <t>Retail</t>
        </is>
      </c>
      <c r="H1342" t="n">
        <v>0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Cust 6744</t>
        </is>
      </c>
      <c r="P1342" t="n">
        <v>11.62</v>
      </c>
      <c r="Q1342" s="16" t="n">
        <v>45629</v>
      </c>
      <c r="R1342" s="16" t="n">
        <v>45631</v>
      </c>
      <c r="S1342" t="inlineStr">
        <is>
          <t>Sophie</t>
        </is>
      </c>
      <c r="T1342" t="inlineStr">
        <is>
          <t>2024-12</t>
        </is>
      </c>
    </row>
    <row r="1343">
      <c r="A1343" s="16" t="n">
        <v>45177</v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B</t>
        </is>
      </c>
      <c r="G1343" t="inlineStr">
        <is>
          <t>Retail</t>
        </is>
      </c>
      <c r="H1343" t="n">
        <v>0.15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Cust 5690</t>
        </is>
      </c>
      <c r="P1343" t="n">
        <v>9.289999999999999</v>
      </c>
      <c r="Q1343" s="16" t="n">
        <v>45177</v>
      </c>
      <c r="R1343" s="16" t="n">
        <v>45184</v>
      </c>
      <c r="S1343" t="inlineStr">
        <is>
          <t>Eric</t>
        </is>
      </c>
      <c r="T1343" t="inlineStr">
        <is>
          <t>2023-09</t>
        </is>
      </c>
    </row>
    <row r="1344">
      <c r="A1344" s="16" t="n">
        <v>45296</v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B</t>
        </is>
      </c>
      <c r="G1344" t="inlineStr">
        <is>
          <t>Wholesale</t>
        </is>
      </c>
      <c r="H1344" t="n">
        <v>0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Cust 1265</t>
        </is>
      </c>
      <c r="P1344" t="n">
        <v>9.779999999999999</v>
      </c>
      <c r="Q1344" s="16" t="n">
        <v>45296</v>
      </c>
      <c r="R1344" s="16" t="n">
        <v>45298</v>
      </c>
      <c r="S1344" t="inlineStr">
        <is>
          <t>Eric</t>
        </is>
      </c>
      <c r="T1344" t="inlineStr">
        <is>
          <t>2024-01</t>
        </is>
      </c>
    </row>
    <row r="1345">
      <c r="A1345" s="16" t="n">
        <v>45141</v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D</t>
        </is>
      </c>
      <c r="G1345" t="inlineStr">
        <is>
          <t>Retail</t>
        </is>
      </c>
      <c r="H1345" t="n">
        <v>0.05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n">
        <v/>
      </c>
      <c r="M1345" t="n">
        <v>0</v>
      </c>
      <c r="N1345" t="inlineStr">
        <is>
          <t>REG101343</t>
        </is>
      </c>
      <c r="O1345" t="inlineStr">
        <is>
          <t>Cust 7676</t>
        </is>
      </c>
      <c r="P1345" t="n">
        <v>28.9</v>
      </c>
      <c r="Q1345" s="16" t="n">
        <v>45141</v>
      </c>
      <c r="R1345" s="16" t="n">
        <v>45148</v>
      </c>
      <c r="S1345" t="inlineStr">
        <is>
          <t>Sophie</t>
        </is>
      </c>
      <c r="T1345" t="inlineStr">
        <is>
          <t>2023-08</t>
        </is>
      </c>
    </row>
    <row r="1346">
      <c r="A1346" s="16" t="n">
        <v>45699</v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B</t>
        </is>
      </c>
      <c r="G1346" t="inlineStr">
        <is>
          <t>Wholesale</t>
        </is>
      </c>
      <c r="H1346" t="n">
        <v>0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Cust 4442</t>
        </is>
      </c>
      <c r="P1346" t="n">
        <v>11.72</v>
      </c>
      <c r="Q1346" s="16" t="n">
        <v>45699</v>
      </c>
      <c r="R1346" s="16" t="n">
        <v>45709</v>
      </c>
      <c r="S1346" t="inlineStr">
        <is>
          <t>Ryan</t>
        </is>
      </c>
      <c r="T1346" t="inlineStr">
        <is>
          <t>2025-02</t>
        </is>
      </c>
    </row>
    <row r="1347">
      <c r="A1347" s="16" t="n">
        <v>45094</v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0.1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Cust 2975</t>
        </is>
      </c>
      <c r="P1347" t="n">
        <v>21.95</v>
      </c>
      <c r="Q1347" s="16" t="n">
        <v>45094</v>
      </c>
      <c r="R1347" s="16" t="n">
        <v>45098</v>
      </c>
      <c r="S1347" t="inlineStr">
        <is>
          <t>Sophie</t>
        </is>
      </c>
      <c r="T1347" t="inlineStr">
        <is>
          <t>2023-06</t>
        </is>
      </c>
    </row>
    <row r="1348">
      <c r="A1348" s="16" t="n">
        <v>45327</v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0.15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n">
        <v/>
      </c>
      <c r="M1348" t="n">
        <v>0</v>
      </c>
      <c r="N1348" t="inlineStr">
        <is>
          <t>REG101346</t>
        </is>
      </c>
      <c r="O1348" t="inlineStr">
        <is>
          <t>Cust 7832</t>
        </is>
      </c>
      <c r="P1348" t="n">
        <v>29.19</v>
      </c>
      <c r="Q1348" s="16" t="n">
        <v>45327</v>
      </c>
      <c r="R1348" s="16" t="n">
        <v>45336</v>
      </c>
      <c r="S1348" t="inlineStr">
        <is>
          <t>Cameron</t>
        </is>
      </c>
      <c r="T1348" t="inlineStr">
        <is>
          <t>2024-02</t>
        </is>
      </c>
    </row>
    <row r="1349">
      <c r="A1349" s="16" t="n">
        <v>45368</v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A</t>
        </is>
      </c>
      <c r="G1349" t="inlineStr">
        <is>
          <t>Wholesale</t>
        </is>
      </c>
      <c r="H1349" t="n">
        <v>0.15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n">
        <v/>
      </c>
      <c r="M1349" t="n">
        <v>0</v>
      </c>
      <c r="N1349" t="inlineStr">
        <is>
          <t>REG101347</t>
        </is>
      </c>
      <c r="O1349" t="inlineStr">
        <is>
          <t>Cust 7753</t>
        </is>
      </c>
      <c r="P1349" t="n">
        <v>24.33</v>
      </c>
      <c r="Q1349" s="16" t="n">
        <v>45368</v>
      </c>
      <c r="R1349" s="16" t="n">
        <v>45378</v>
      </c>
      <c r="S1349" t="inlineStr">
        <is>
          <t>Sophie</t>
        </is>
      </c>
      <c r="T1349" t="inlineStr">
        <is>
          <t>2024-03</t>
        </is>
      </c>
    </row>
    <row r="1350">
      <c r="A1350" s="16" t="n">
        <v>45325</v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0.05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Cust 8639</t>
        </is>
      </c>
      <c r="P1350" t="n">
        <v>42.65</v>
      </c>
      <c r="Q1350" s="16" t="n">
        <v>45325</v>
      </c>
      <c r="R1350" s="16" t="n">
        <v>45331</v>
      </c>
      <c r="S1350" t="inlineStr">
        <is>
          <t>Cameron</t>
        </is>
      </c>
      <c r="T1350" t="inlineStr">
        <is>
          <t>2024-02</t>
        </is>
      </c>
    </row>
    <row r="1351">
      <c r="A1351" s="16" t="n">
        <v>45016</v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D</t>
        </is>
      </c>
      <c r="G1351" t="inlineStr">
        <is>
          <t>Retail</t>
        </is>
      </c>
      <c r="H1351" t="n">
        <v>0.1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Cust 9878</t>
        </is>
      </c>
      <c r="P1351" t="n">
        <v>9.289999999999999</v>
      </c>
      <c r="Q1351" s="16" t="n">
        <v>45016</v>
      </c>
      <c r="R1351" s="16" t="n">
        <v>45026</v>
      </c>
      <c r="S1351" t="inlineStr">
        <is>
          <t>Ryan</t>
        </is>
      </c>
      <c r="T1351" t="inlineStr">
        <is>
          <t>2023-03</t>
        </is>
      </c>
    </row>
    <row r="1352">
      <c r="A1352" s="16" t="n">
        <v>45156</v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B</t>
        </is>
      </c>
      <c r="G1352" t="inlineStr">
        <is>
          <t>Wholesale</t>
        </is>
      </c>
      <c r="H1352" t="n">
        <v>0.15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n">
        <v/>
      </c>
      <c r="M1352" t="n">
        <v>0</v>
      </c>
      <c r="N1352" t="inlineStr">
        <is>
          <t>REG101350</t>
        </is>
      </c>
      <c r="O1352" t="inlineStr">
        <is>
          <t>Cust 4205</t>
        </is>
      </c>
      <c r="P1352" t="n">
        <v>45.99</v>
      </c>
      <c r="Q1352" s="16" t="n">
        <v>45156</v>
      </c>
      <c r="R1352" s="16" t="n">
        <v>45160</v>
      </c>
      <c r="S1352" t="inlineStr">
        <is>
          <t>Wendy</t>
        </is>
      </c>
      <c r="T1352" t="inlineStr">
        <is>
          <t>2023-08</t>
        </is>
      </c>
    </row>
    <row r="1353">
      <c r="A1353" s="16" t="n">
        <v>45179</v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0.05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Cust 4009</t>
        </is>
      </c>
      <c r="P1353" t="n">
        <v>32.75</v>
      </c>
      <c r="Q1353" s="16" t="n">
        <v>45179</v>
      </c>
      <c r="R1353" s="16" t="n">
        <v>45182</v>
      </c>
      <c r="S1353" t="inlineStr">
        <is>
          <t>Cameron</t>
        </is>
      </c>
      <c r="T1353" t="inlineStr">
        <is>
          <t>2023-09</t>
        </is>
      </c>
    </row>
    <row r="1354">
      <c r="A1354" s="16" t="n">
        <v>45320</v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C</t>
        </is>
      </c>
      <c r="G1354" t="inlineStr">
        <is>
          <t>Retail</t>
        </is>
      </c>
      <c r="H1354" t="n">
        <v>0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Cust 6499</t>
        </is>
      </c>
      <c r="P1354" t="n">
        <v>21.46</v>
      </c>
      <c r="Q1354" s="16" t="n">
        <v>45320</v>
      </c>
      <c r="R1354" s="16" t="n">
        <v>45325</v>
      </c>
      <c r="S1354" t="inlineStr">
        <is>
          <t>Sophie</t>
        </is>
      </c>
      <c r="T1354" t="inlineStr">
        <is>
          <t>2024-01</t>
        </is>
      </c>
    </row>
    <row r="1355">
      <c r="A1355" s="16" t="n">
        <v>45372</v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0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Cust 4389</t>
        </is>
      </c>
      <c r="P1355" t="n">
        <v>25.02</v>
      </c>
      <c r="Q1355" s="16" t="n">
        <v>45372</v>
      </c>
      <c r="R1355" s="16" t="n">
        <v>45381</v>
      </c>
      <c r="S1355" t="inlineStr">
        <is>
          <t>Ryan</t>
        </is>
      </c>
      <c r="T1355" t="inlineStr">
        <is>
          <t>2024-03</t>
        </is>
      </c>
    </row>
    <row r="1356">
      <c r="A1356" s="16" t="n">
        <v>45507</v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0.1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Cust 2008</t>
        </is>
      </c>
      <c r="P1356" t="n">
        <v>36.79</v>
      </c>
      <c r="Q1356" s="16" t="n">
        <v>45507</v>
      </c>
      <c r="R1356" s="16" t="n">
        <v>45509</v>
      </c>
      <c r="S1356" t="inlineStr">
        <is>
          <t>Wendy</t>
        </is>
      </c>
      <c r="T1356" t="inlineStr">
        <is>
          <t>2024-08</t>
        </is>
      </c>
    </row>
    <row r="1357">
      <c r="A1357" s="16" t="n">
        <v>45782</v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C</t>
        </is>
      </c>
      <c r="G1357" t="inlineStr">
        <is>
          <t>Retail</t>
        </is>
      </c>
      <c r="H1357" t="n">
        <v>0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Cust 6509</t>
        </is>
      </c>
      <c r="P1357" t="n">
        <v>7.35</v>
      </c>
      <c r="Q1357" s="16" t="n">
        <v>45782</v>
      </c>
      <c r="R1357" s="16" t="n">
        <v>45791</v>
      </c>
      <c r="S1357" t="inlineStr">
        <is>
          <t>Ryan</t>
        </is>
      </c>
      <c r="T1357" t="inlineStr">
        <is>
          <t>2025-05</t>
        </is>
      </c>
    </row>
    <row r="1358">
      <c r="A1358" s="16" t="n">
        <v>44965</v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0.1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n">
        <v/>
      </c>
      <c r="M1358" t="n">
        <v>1</v>
      </c>
      <c r="N1358" t="inlineStr">
        <is>
          <t>REG101356</t>
        </is>
      </c>
      <c r="O1358" t="inlineStr">
        <is>
          <t>Cust 4270</t>
        </is>
      </c>
      <c r="P1358" t="n">
        <v>20.9</v>
      </c>
      <c r="Q1358" s="16" t="n">
        <v>44965</v>
      </c>
      <c r="R1358" s="16" t="n">
        <v>44973</v>
      </c>
      <c r="S1358" t="inlineStr">
        <is>
          <t>Wendy</t>
        </is>
      </c>
      <c r="T1358" t="inlineStr">
        <is>
          <t>2023-02</t>
        </is>
      </c>
    </row>
    <row r="1359">
      <c r="A1359" s="16" t="n">
        <v>45072</v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A</t>
        </is>
      </c>
      <c r="G1359" t="inlineStr">
        <is>
          <t>Wholesale</t>
        </is>
      </c>
      <c r="H1359" t="n">
        <v>0.15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Cust 4414</t>
        </is>
      </c>
      <c r="P1359" t="n">
        <v>15.25</v>
      </c>
      <c r="Q1359" s="16" t="n">
        <v>45072</v>
      </c>
      <c r="R1359" s="16" t="n">
        <v>45082</v>
      </c>
      <c r="S1359" t="inlineStr">
        <is>
          <t>Cameron</t>
        </is>
      </c>
      <c r="T1359" t="inlineStr">
        <is>
          <t>2023-05</t>
        </is>
      </c>
    </row>
    <row r="1360">
      <c r="A1360" s="16" t="n">
        <v>45488</v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0.1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Cust 6409</t>
        </is>
      </c>
      <c r="P1360" t="n">
        <v>8.91</v>
      </c>
      <c r="Q1360" s="16" t="n">
        <v>45488</v>
      </c>
      <c r="R1360" s="16" t="n">
        <v>45495</v>
      </c>
      <c r="S1360" t="inlineStr">
        <is>
          <t>Eric</t>
        </is>
      </c>
      <c r="T1360" t="inlineStr">
        <is>
          <t>2024-07</t>
        </is>
      </c>
    </row>
    <row r="1361">
      <c r="A1361" s="16" t="n">
        <v>45644</v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C</t>
        </is>
      </c>
      <c r="G1361" t="inlineStr">
        <is>
          <t>Wholesale</t>
        </is>
      </c>
      <c r="H1361" t="n">
        <v>0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n">
        <v/>
      </c>
      <c r="M1361" t="n">
        <v>0</v>
      </c>
      <c r="N1361" t="inlineStr">
        <is>
          <t>REG101359</t>
        </is>
      </c>
      <c r="O1361" t="inlineStr">
        <is>
          <t>Cust 1621</t>
        </is>
      </c>
      <c r="P1361" t="n">
        <v>15.81</v>
      </c>
      <c r="Q1361" s="16" t="n">
        <v>45644</v>
      </c>
      <c r="R1361" s="16" t="n">
        <v>45653</v>
      </c>
      <c r="S1361" t="inlineStr">
        <is>
          <t>Ryan</t>
        </is>
      </c>
      <c r="T1361" t="inlineStr">
        <is>
          <t>2024-12</t>
        </is>
      </c>
    </row>
    <row r="1362">
      <c r="A1362" s="16" t="n">
        <v>45564</v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B</t>
        </is>
      </c>
      <c r="G1362" t="inlineStr">
        <is>
          <t>Wholesale</t>
        </is>
      </c>
      <c r="H1362" t="n">
        <v>0.1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Cust 6790</t>
        </is>
      </c>
      <c r="P1362" t="n">
        <v>37.78</v>
      </c>
      <c r="Q1362" s="16" t="n">
        <v>45564</v>
      </c>
      <c r="R1362" s="16" t="n">
        <v>45573</v>
      </c>
      <c r="S1362" t="inlineStr">
        <is>
          <t>Ryan</t>
        </is>
      </c>
      <c r="T1362" t="inlineStr">
        <is>
          <t>2024-09</t>
        </is>
      </c>
    </row>
    <row r="1363">
      <c r="A1363" s="16" t="n">
        <v>45590</v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C</t>
        </is>
      </c>
      <c r="G1363" t="inlineStr">
        <is>
          <t>Wholesale</t>
        </is>
      </c>
      <c r="H1363" t="n">
        <v>0.1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Cust 4045</t>
        </is>
      </c>
      <c r="P1363" t="n">
        <v>20.92</v>
      </c>
      <c r="Q1363" s="16" t="n">
        <v>45590</v>
      </c>
      <c r="R1363" s="16" t="n">
        <v>45597</v>
      </c>
      <c r="S1363" t="inlineStr">
        <is>
          <t>Sophie</t>
        </is>
      </c>
      <c r="T1363" t="inlineStr">
        <is>
          <t>2024-10</t>
        </is>
      </c>
    </row>
    <row r="1364">
      <c r="A1364" s="16" t="n">
        <v>45663</v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C</t>
        </is>
      </c>
      <c r="G1364" t="inlineStr">
        <is>
          <t>Retail</t>
        </is>
      </c>
      <c r="H1364" t="n">
        <v>0.05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Cust 1258</t>
        </is>
      </c>
      <c r="P1364" t="n">
        <v>6.17</v>
      </c>
      <c r="Q1364" s="16" t="n">
        <v>45663</v>
      </c>
      <c r="R1364" s="16" t="n">
        <v>45673</v>
      </c>
      <c r="S1364" t="inlineStr">
        <is>
          <t>Ryan</t>
        </is>
      </c>
      <c r="T1364" t="inlineStr">
        <is>
          <t>2025-01</t>
        </is>
      </c>
    </row>
    <row r="1365">
      <c r="A1365" s="16" t="n">
        <v>45249</v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A</t>
        </is>
      </c>
      <c r="G1365" t="inlineStr">
        <is>
          <t>Wholesale</t>
        </is>
      </c>
      <c r="H1365" t="n">
        <v>0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n">
        <v/>
      </c>
      <c r="M1365" t="n">
        <v>0</v>
      </c>
      <c r="N1365" t="inlineStr">
        <is>
          <t>REG101363</t>
        </is>
      </c>
      <c r="O1365" t="inlineStr">
        <is>
          <t>Cust 8051</t>
        </is>
      </c>
      <c r="P1365" t="n">
        <v>23.15</v>
      </c>
      <c r="Q1365" s="16" t="n">
        <v>45249</v>
      </c>
      <c r="R1365" s="16" t="n">
        <v>45251</v>
      </c>
      <c r="S1365" t="inlineStr">
        <is>
          <t>Cameron</t>
        </is>
      </c>
      <c r="T1365" t="inlineStr">
        <is>
          <t>2023-11</t>
        </is>
      </c>
    </row>
    <row r="1366">
      <c r="A1366" s="16" t="n">
        <v>45393</v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A</t>
        </is>
      </c>
      <c r="G1366" t="inlineStr">
        <is>
          <t>Retail</t>
        </is>
      </c>
      <c r="H1366" t="n">
        <v>0.05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n">
        <v/>
      </c>
      <c r="M1366" t="n">
        <v>1</v>
      </c>
      <c r="N1366" t="inlineStr">
        <is>
          <t>REG101364</t>
        </is>
      </c>
      <c r="O1366" t="inlineStr">
        <is>
          <t>Cust 9371</t>
        </is>
      </c>
      <c r="P1366" t="n">
        <v>29.9</v>
      </c>
      <c r="Q1366" s="16" t="n">
        <v>45393</v>
      </c>
      <c r="R1366" s="16" t="n">
        <v>45399</v>
      </c>
      <c r="S1366" t="inlineStr">
        <is>
          <t>Sophie</t>
        </is>
      </c>
      <c r="T1366" t="inlineStr">
        <is>
          <t>2024-04</t>
        </is>
      </c>
    </row>
    <row r="1367">
      <c r="A1367" s="16" t="n">
        <v>45381</v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0.15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n">
        <v/>
      </c>
      <c r="M1367" t="n">
        <v>1</v>
      </c>
      <c r="N1367" t="inlineStr">
        <is>
          <t>REG101365</t>
        </is>
      </c>
      <c r="O1367" t="inlineStr">
        <is>
          <t>Cust 9881</t>
        </is>
      </c>
      <c r="P1367" t="n">
        <v>23.07</v>
      </c>
      <c r="Q1367" s="16" t="n">
        <v>45381</v>
      </c>
      <c r="R1367" s="16" t="n">
        <v>45388</v>
      </c>
      <c r="S1367" t="inlineStr">
        <is>
          <t>Sophie</t>
        </is>
      </c>
      <c r="T1367" t="inlineStr">
        <is>
          <t>2024-03</t>
        </is>
      </c>
    </row>
    <row r="1368">
      <c r="A1368" s="16" t="n">
        <v>45621</v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D</t>
        </is>
      </c>
      <c r="G1368" t="inlineStr">
        <is>
          <t>Retail</t>
        </is>
      </c>
      <c r="H1368" t="n">
        <v>0.1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Cust 2153</t>
        </is>
      </c>
      <c r="P1368" t="n">
        <v>15.54</v>
      </c>
      <c r="Q1368" s="16" t="n">
        <v>45621</v>
      </c>
      <c r="R1368" s="16" t="n">
        <v>45625</v>
      </c>
      <c r="S1368" t="inlineStr">
        <is>
          <t>Ryan</t>
        </is>
      </c>
      <c r="T1368" t="inlineStr">
        <is>
          <t>2024-11</t>
        </is>
      </c>
    </row>
    <row r="1369">
      <c r="A1369" s="16" t="n">
        <v>45663</v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A</t>
        </is>
      </c>
      <c r="G1369" t="inlineStr">
        <is>
          <t>Retail</t>
        </is>
      </c>
      <c r="H1369" t="n">
        <v>0.05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Cust 9189</t>
        </is>
      </c>
      <c r="P1369" t="n">
        <v>18.22</v>
      </c>
      <c r="Q1369" s="16" t="n">
        <v>45663</v>
      </c>
      <c r="R1369" s="16" t="n">
        <v>45672</v>
      </c>
      <c r="S1369" t="inlineStr">
        <is>
          <t>Ryan</t>
        </is>
      </c>
      <c r="T1369" t="inlineStr">
        <is>
          <t>2025-01</t>
        </is>
      </c>
    </row>
    <row r="1370">
      <c r="A1370" s="16" t="n">
        <v>45031</v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B</t>
        </is>
      </c>
      <c r="G1370" t="inlineStr">
        <is>
          <t>Wholesale</t>
        </is>
      </c>
      <c r="H1370" t="n">
        <v>0.05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n">
        <v/>
      </c>
      <c r="M1370" t="n">
        <v>0</v>
      </c>
      <c r="N1370" t="inlineStr">
        <is>
          <t>REG101368</t>
        </is>
      </c>
      <c r="O1370" t="inlineStr">
        <is>
          <t>Cust 8802</t>
        </is>
      </c>
      <c r="P1370" t="n">
        <v>41.73</v>
      </c>
      <c r="Q1370" s="16" t="n">
        <v>45031</v>
      </c>
      <c r="R1370" s="16" t="n">
        <v>45034</v>
      </c>
      <c r="S1370" t="inlineStr">
        <is>
          <t>Wendy</t>
        </is>
      </c>
      <c r="T1370" t="inlineStr">
        <is>
          <t>2023-04</t>
        </is>
      </c>
    </row>
    <row r="1371">
      <c r="A1371" s="16" t="n">
        <v>45329</v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A</t>
        </is>
      </c>
      <c r="G1371" t="inlineStr">
        <is>
          <t>Retail</t>
        </is>
      </c>
      <c r="H1371" t="n">
        <v>0.1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Cust 8707</t>
        </is>
      </c>
      <c r="P1371" t="n">
        <v>15.87</v>
      </c>
      <c r="Q1371" s="16" t="n">
        <v>45329</v>
      </c>
      <c r="R1371" s="16" t="n">
        <v>45339</v>
      </c>
      <c r="S1371" t="inlineStr">
        <is>
          <t>Eric</t>
        </is>
      </c>
      <c r="T1371" t="inlineStr">
        <is>
          <t>2024-02</t>
        </is>
      </c>
    </row>
    <row r="1372">
      <c r="A1372" s="16" t="n">
        <v>45079</v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B</t>
        </is>
      </c>
      <c r="G1372" t="inlineStr">
        <is>
          <t>Retail</t>
        </is>
      </c>
      <c r="H1372" t="n">
        <v>0.1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n">
        <v/>
      </c>
      <c r="M1372" t="n">
        <v>1</v>
      </c>
      <c r="N1372" t="inlineStr">
        <is>
          <t>REG101370</t>
        </is>
      </c>
      <c r="O1372" t="inlineStr">
        <is>
          <t>Cust 5638</t>
        </is>
      </c>
      <c r="P1372" t="n">
        <v>45.11</v>
      </c>
      <c r="Q1372" s="16" t="n">
        <v>45079</v>
      </c>
      <c r="R1372" s="16" t="n">
        <v>45082</v>
      </c>
      <c r="S1372" t="inlineStr">
        <is>
          <t>Eric</t>
        </is>
      </c>
      <c r="T1372" t="inlineStr">
        <is>
          <t>2023-06</t>
        </is>
      </c>
    </row>
    <row r="1373">
      <c r="A1373" s="16" t="n">
        <v>45162</v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A</t>
        </is>
      </c>
      <c r="G1373" t="inlineStr">
        <is>
          <t>Retail</t>
        </is>
      </c>
      <c r="H1373" t="n">
        <v>0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Cust 6036</t>
        </is>
      </c>
      <c r="P1373" t="n">
        <v>18.25</v>
      </c>
      <c r="Q1373" s="16" t="n">
        <v>45162</v>
      </c>
      <c r="R1373" s="16" t="n">
        <v>45171</v>
      </c>
      <c r="S1373" t="inlineStr">
        <is>
          <t>Eric</t>
        </is>
      </c>
      <c r="T1373" t="inlineStr">
        <is>
          <t>2023-08</t>
        </is>
      </c>
    </row>
    <row r="1374">
      <c r="A1374" s="16" t="n">
        <v>45632</v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0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Cust 5504</t>
        </is>
      </c>
      <c r="P1374" t="n">
        <v>12.6</v>
      </c>
      <c r="Q1374" s="16" t="n">
        <v>45632</v>
      </c>
      <c r="R1374" s="16" t="n">
        <v>45637</v>
      </c>
      <c r="S1374" t="inlineStr">
        <is>
          <t>Sophie</t>
        </is>
      </c>
      <c r="T1374" t="inlineStr">
        <is>
          <t>2024-12</t>
        </is>
      </c>
    </row>
    <row r="1375">
      <c r="A1375" s="16" t="n">
        <v>45268</v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0.1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Cust 1161</t>
        </is>
      </c>
      <c r="P1375" t="n">
        <v>30.43</v>
      </c>
      <c r="Q1375" s="16" t="n">
        <v>45268</v>
      </c>
      <c r="R1375" s="16" t="n">
        <v>45274</v>
      </c>
      <c r="S1375" t="inlineStr">
        <is>
          <t>Eric</t>
        </is>
      </c>
      <c r="T1375" t="inlineStr">
        <is>
          <t>2023-12</t>
        </is>
      </c>
    </row>
    <row r="1376">
      <c r="A1376" s="16" t="n">
        <v>45058</v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0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Cust 5420</t>
        </is>
      </c>
      <c r="P1376" t="n">
        <v>23.25</v>
      </c>
      <c r="Q1376" s="16" t="n">
        <v>45058</v>
      </c>
      <c r="R1376" s="16" t="n">
        <v>45066</v>
      </c>
      <c r="S1376" t="inlineStr">
        <is>
          <t>Sophie</t>
        </is>
      </c>
      <c r="T1376" t="inlineStr">
        <is>
          <t>2023-05</t>
        </is>
      </c>
    </row>
    <row r="1377">
      <c r="A1377" s="16" t="n">
        <v>45771</v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B</t>
        </is>
      </c>
      <c r="G1377" t="inlineStr">
        <is>
          <t>Retail</t>
        </is>
      </c>
      <c r="H1377" t="n">
        <v>0.05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Cust 7745</t>
        </is>
      </c>
      <c r="P1377" t="n">
        <v>44.91</v>
      </c>
      <c r="Q1377" s="16" t="n">
        <v>45771</v>
      </c>
      <c r="R1377" s="16" t="n">
        <v>45774</v>
      </c>
      <c r="S1377" t="inlineStr">
        <is>
          <t>Wendy</t>
        </is>
      </c>
      <c r="T1377" t="inlineStr">
        <is>
          <t>2025-04</t>
        </is>
      </c>
    </row>
    <row r="1378">
      <c r="A1378" s="16" t="n">
        <v>45039</v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D</t>
        </is>
      </c>
      <c r="G1378" t="inlineStr">
        <is>
          <t>Retail</t>
        </is>
      </c>
      <c r="H1378" t="n">
        <v>0.05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Cust 4365</t>
        </is>
      </c>
      <c r="P1378" t="n">
        <v>36.68</v>
      </c>
      <c r="Q1378" s="16" t="n">
        <v>45039</v>
      </c>
      <c r="R1378" s="16" t="n">
        <v>45049</v>
      </c>
      <c r="S1378" t="inlineStr">
        <is>
          <t>Cameron</t>
        </is>
      </c>
      <c r="T1378" t="inlineStr">
        <is>
          <t>2023-04</t>
        </is>
      </c>
    </row>
    <row r="1379">
      <c r="A1379" s="16" t="n">
        <v>44944</v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D</t>
        </is>
      </c>
      <c r="G1379" t="inlineStr">
        <is>
          <t>Retail</t>
        </is>
      </c>
      <c r="H1379" t="n">
        <v>0.05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Cust 3291</t>
        </is>
      </c>
      <c r="P1379" t="n">
        <v>44.99</v>
      </c>
      <c r="Q1379" s="16" t="n">
        <v>44944</v>
      </c>
      <c r="R1379" s="16" t="n">
        <v>44947</v>
      </c>
      <c r="S1379" t="inlineStr">
        <is>
          <t>Ryan</t>
        </is>
      </c>
      <c r="T1379" t="inlineStr">
        <is>
          <t>2023-01</t>
        </is>
      </c>
    </row>
    <row r="1380">
      <c r="A1380" s="16" t="n">
        <v>45788</v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B</t>
        </is>
      </c>
      <c r="G1380" t="inlineStr">
        <is>
          <t>Wholesale</t>
        </is>
      </c>
      <c r="H1380" t="n">
        <v>0.15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n">
        <v/>
      </c>
      <c r="M1380" t="n">
        <v>0</v>
      </c>
      <c r="N1380" t="inlineStr">
        <is>
          <t>REG101378</t>
        </is>
      </c>
      <c r="O1380" t="inlineStr">
        <is>
          <t>Cust 9020</t>
        </is>
      </c>
      <c r="P1380" t="n">
        <v>6.81</v>
      </c>
      <c r="Q1380" s="16" t="n">
        <v>45788</v>
      </c>
      <c r="R1380" s="16" t="n">
        <v>45798</v>
      </c>
      <c r="S1380" t="inlineStr">
        <is>
          <t>Ryan</t>
        </is>
      </c>
      <c r="T1380" t="inlineStr">
        <is>
          <t>2025-05</t>
        </is>
      </c>
    </row>
    <row r="1381">
      <c r="A1381" s="16" t="n">
        <v>45649</v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0.05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Cust 2667</t>
        </is>
      </c>
      <c r="P1381" t="n">
        <v>29.18</v>
      </c>
      <c r="Q1381" s="16" t="n">
        <v>45649</v>
      </c>
      <c r="R1381" s="16" t="n">
        <v>45659</v>
      </c>
      <c r="S1381" t="inlineStr">
        <is>
          <t>Wendy</t>
        </is>
      </c>
      <c r="T1381" t="inlineStr">
        <is>
          <t>2024-12</t>
        </is>
      </c>
    </row>
    <row r="1382">
      <c r="A1382" s="16" t="n">
        <v>45158</v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A</t>
        </is>
      </c>
      <c r="G1382" t="inlineStr">
        <is>
          <t>Wholesale</t>
        </is>
      </c>
      <c r="H1382" t="n">
        <v>0.15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n">
        <v/>
      </c>
      <c r="M1382" t="n">
        <v>0</v>
      </c>
      <c r="N1382" t="inlineStr">
        <is>
          <t>REG101380</t>
        </is>
      </c>
      <c r="O1382" t="inlineStr">
        <is>
          <t>Cust 6158</t>
        </is>
      </c>
      <c r="P1382" t="n">
        <v>6.36</v>
      </c>
      <c r="Q1382" s="16" t="n">
        <v>45158</v>
      </c>
      <c r="R1382" s="16" t="n">
        <v>45166</v>
      </c>
      <c r="S1382" t="inlineStr">
        <is>
          <t>Wendy</t>
        </is>
      </c>
      <c r="T1382" t="inlineStr">
        <is>
          <t>2023-08</t>
        </is>
      </c>
    </row>
    <row r="1383">
      <c r="A1383" s="16" t="n">
        <v>45734</v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Cust 7404</t>
        </is>
      </c>
      <c r="P1383" t="n">
        <v>21.92</v>
      </c>
      <c r="Q1383" s="16" t="n">
        <v>45734</v>
      </c>
      <c r="R1383" s="16" t="n">
        <v>45739</v>
      </c>
      <c r="S1383" t="inlineStr">
        <is>
          <t>Cameron</t>
        </is>
      </c>
      <c r="T1383" t="inlineStr">
        <is>
          <t>2025-03</t>
        </is>
      </c>
    </row>
    <row r="1384">
      <c r="A1384" s="16" t="n">
        <v>45307</v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A</t>
        </is>
      </c>
      <c r="G1384" t="inlineStr">
        <is>
          <t>Retail</t>
        </is>
      </c>
      <c r="H1384" t="n">
        <v>0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n">
        <v/>
      </c>
      <c r="M1384" t="n">
        <v>0</v>
      </c>
      <c r="N1384" t="inlineStr">
        <is>
          <t>REG101382</t>
        </is>
      </c>
      <c r="O1384" t="inlineStr">
        <is>
          <t>Cust 8572</t>
        </is>
      </c>
      <c r="P1384" t="n">
        <v>14.03</v>
      </c>
      <c r="Q1384" s="16" t="n">
        <v>45307</v>
      </c>
      <c r="R1384" s="16" t="n">
        <v>45315</v>
      </c>
      <c r="S1384" t="inlineStr">
        <is>
          <t>Cameron</t>
        </is>
      </c>
      <c r="T1384" t="inlineStr">
        <is>
          <t>2024-01</t>
        </is>
      </c>
    </row>
    <row r="1385">
      <c r="A1385" s="16" t="n">
        <v>45441</v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0.1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Cust 1043</t>
        </is>
      </c>
      <c r="P1385" t="n">
        <v>26.42</v>
      </c>
      <c r="Q1385" s="16" t="n">
        <v>45441</v>
      </c>
      <c r="R1385" s="16" t="n">
        <v>45451</v>
      </c>
      <c r="S1385" t="inlineStr">
        <is>
          <t>Eric</t>
        </is>
      </c>
      <c r="T1385" t="inlineStr">
        <is>
          <t>2024-05</t>
        </is>
      </c>
    </row>
    <row r="1386">
      <c r="A1386" s="16" t="n">
        <v>45741</v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B</t>
        </is>
      </c>
      <c r="G1386" t="inlineStr">
        <is>
          <t>Wholesale</t>
        </is>
      </c>
      <c r="H1386" t="n">
        <v>0.15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n">
        <v/>
      </c>
      <c r="M1386" t="n">
        <v>0</v>
      </c>
      <c r="N1386" t="inlineStr">
        <is>
          <t>REG101384</t>
        </is>
      </c>
      <c r="O1386" t="inlineStr">
        <is>
          <t>Cust 1766</t>
        </is>
      </c>
      <c r="P1386" t="n">
        <v>40.76</v>
      </c>
      <c r="Q1386" s="16" t="n">
        <v>45741</v>
      </c>
      <c r="R1386" s="16" t="n">
        <v>45743</v>
      </c>
      <c r="S1386" t="inlineStr">
        <is>
          <t>Sophie</t>
        </is>
      </c>
      <c r="T1386" t="inlineStr">
        <is>
          <t>2025-03</t>
        </is>
      </c>
    </row>
    <row r="1387">
      <c r="A1387" s="16" t="n">
        <v>45738</v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D</t>
        </is>
      </c>
      <c r="G1387" t="inlineStr">
        <is>
          <t>Wholesale</t>
        </is>
      </c>
      <c r="H1387" t="n">
        <v>0.05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Cust 4461</t>
        </is>
      </c>
      <c r="P1387" t="n">
        <v>8.369999999999999</v>
      </c>
      <c r="Q1387" s="16" t="n">
        <v>45738</v>
      </c>
      <c r="R1387" s="16" t="n">
        <v>45743</v>
      </c>
      <c r="S1387" t="inlineStr">
        <is>
          <t>Cameron</t>
        </is>
      </c>
      <c r="T1387" t="inlineStr">
        <is>
          <t>2025-03</t>
        </is>
      </c>
    </row>
    <row r="1388">
      <c r="A1388" s="16" t="n">
        <v>45521</v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C</t>
        </is>
      </c>
      <c r="G1388" t="inlineStr">
        <is>
          <t>Retail</t>
        </is>
      </c>
      <c r="H1388" t="n">
        <v>0.05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Cust 4390</t>
        </is>
      </c>
      <c r="P1388" t="n">
        <v>26.12</v>
      </c>
      <c r="Q1388" s="16" t="n">
        <v>45521</v>
      </c>
      <c r="R1388" s="16" t="n">
        <v>45528</v>
      </c>
      <c r="S1388" t="inlineStr">
        <is>
          <t>Eric</t>
        </is>
      </c>
      <c r="T1388" t="inlineStr">
        <is>
          <t>2024-08</t>
        </is>
      </c>
    </row>
    <row r="1389">
      <c r="A1389" s="16" t="n">
        <v>45445</v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B</t>
        </is>
      </c>
      <c r="G1389" t="inlineStr">
        <is>
          <t>Wholesale</t>
        </is>
      </c>
      <c r="H1389" t="n">
        <v>0.1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Cust 9451</t>
        </is>
      </c>
      <c r="P1389" t="n">
        <v>18.8</v>
      </c>
      <c r="Q1389" s="16" t="n">
        <v>45445</v>
      </c>
      <c r="R1389" s="16" t="n">
        <v>45455</v>
      </c>
      <c r="S1389" t="inlineStr">
        <is>
          <t>Sophie</t>
        </is>
      </c>
      <c r="T1389" t="inlineStr">
        <is>
          <t>2024-06</t>
        </is>
      </c>
    </row>
    <row r="1390">
      <c r="A1390" s="16" t="n">
        <v>45016</v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C</t>
        </is>
      </c>
      <c r="G1390" t="inlineStr">
        <is>
          <t>Retail</t>
        </is>
      </c>
      <c r="H1390" t="n">
        <v>0.1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n">
        <v/>
      </c>
      <c r="M1390" t="n">
        <v>1</v>
      </c>
      <c r="N1390" t="inlineStr">
        <is>
          <t>REG101388</t>
        </is>
      </c>
      <c r="O1390" t="inlineStr">
        <is>
          <t>Cust 5335</t>
        </is>
      </c>
      <c r="P1390" t="n">
        <v>45.14</v>
      </c>
      <c r="Q1390" s="16" t="n">
        <v>45016</v>
      </c>
      <c r="R1390" s="16" t="n">
        <v>45026</v>
      </c>
      <c r="S1390" t="inlineStr">
        <is>
          <t>Sophie</t>
        </is>
      </c>
      <c r="T1390" t="inlineStr">
        <is>
          <t>2023-03</t>
        </is>
      </c>
    </row>
    <row r="1391">
      <c r="A1391" s="16" t="n">
        <v>45431</v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A</t>
        </is>
      </c>
      <c r="G1391" t="inlineStr">
        <is>
          <t>Wholesale</t>
        </is>
      </c>
      <c r="H1391" t="n">
        <v>0.05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Cust 3487</t>
        </is>
      </c>
      <c r="P1391" t="n">
        <v>16.4</v>
      </c>
      <c r="Q1391" s="16" t="n">
        <v>45431</v>
      </c>
      <c r="R1391" s="16" t="n">
        <v>45435</v>
      </c>
      <c r="S1391" t="inlineStr">
        <is>
          <t>Wendy</t>
        </is>
      </c>
      <c r="T1391" t="inlineStr">
        <is>
          <t>2024-05</t>
        </is>
      </c>
    </row>
    <row r="1392">
      <c r="A1392" s="16" t="n">
        <v>44987</v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0.1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Cust 7613</t>
        </is>
      </c>
      <c r="P1392" t="n">
        <v>9.859999999999999</v>
      </c>
      <c r="Q1392" s="16" t="n">
        <v>44987</v>
      </c>
      <c r="R1392" s="16" t="n">
        <v>44990</v>
      </c>
      <c r="S1392" t="inlineStr">
        <is>
          <t>Wendy</t>
        </is>
      </c>
      <c r="T1392" t="inlineStr">
        <is>
          <t>2023-03</t>
        </is>
      </c>
    </row>
    <row r="1393">
      <c r="A1393" s="16" t="n">
        <v>44998</v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0.15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n">
        <v/>
      </c>
      <c r="M1393" t="n">
        <v>0</v>
      </c>
      <c r="N1393" t="inlineStr">
        <is>
          <t>REG101391</t>
        </is>
      </c>
      <c r="O1393" t="inlineStr">
        <is>
          <t>Cust 9436</t>
        </is>
      </c>
      <c r="P1393" t="n">
        <v>20.92</v>
      </c>
      <c r="Q1393" s="16" t="n">
        <v>44998</v>
      </c>
      <c r="R1393" s="16" t="n">
        <v>45007</v>
      </c>
      <c r="S1393" t="inlineStr">
        <is>
          <t>Ryan</t>
        </is>
      </c>
      <c r="T1393" t="inlineStr">
        <is>
          <t>2023-03</t>
        </is>
      </c>
    </row>
    <row r="1394">
      <c r="A1394" s="16" t="n">
        <v>45763</v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0.05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n">
        <v/>
      </c>
      <c r="M1394" t="n">
        <v>1</v>
      </c>
      <c r="N1394" t="inlineStr">
        <is>
          <t>REG101392</t>
        </is>
      </c>
      <c r="O1394" t="inlineStr">
        <is>
          <t>Cust 2197</t>
        </is>
      </c>
      <c r="P1394" t="n">
        <v>42.79</v>
      </c>
      <c r="Q1394" s="16" t="n">
        <v>45763</v>
      </c>
      <c r="R1394" s="16" t="n">
        <v>45765</v>
      </c>
      <c r="S1394" t="inlineStr">
        <is>
          <t>Wendy</t>
        </is>
      </c>
      <c r="T1394" t="inlineStr">
        <is>
          <t>2025-04</t>
        </is>
      </c>
    </row>
    <row r="1395">
      <c r="A1395" s="16" t="n">
        <v>45448</v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A</t>
        </is>
      </c>
      <c r="G1395" t="inlineStr">
        <is>
          <t>Retail</t>
        </is>
      </c>
      <c r="H1395" t="n">
        <v>0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Cust 5620</t>
        </is>
      </c>
      <c r="P1395" t="n">
        <v>30.69</v>
      </c>
      <c r="Q1395" s="16" t="n">
        <v>45448</v>
      </c>
      <c r="R1395" s="16" t="n">
        <v>45458</v>
      </c>
      <c r="S1395" t="inlineStr">
        <is>
          <t>Ryan</t>
        </is>
      </c>
      <c r="T1395" t="inlineStr">
        <is>
          <t>2024-06</t>
        </is>
      </c>
    </row>
    <row r="1396">
      <c r="A1396" s="16" t="n">
        <v>45536</v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B</t>
        </is>
      </c>
      <c r="G1396" t="inlineStr">
        <is>
          <t>Retail</t>
        </is>
      </c>
      <c r="H1396" t="n">
        <v>0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Cust 4101</t>
        </is>
      </c>
      <c r="P1396" t="n">
        <v>21.54</v>
      </c>
      <c r="Q1396" s="16" t="n">
        <v>45536</v>
      </c>
      <c r="R1396" s="16" t="n">
        <v>45540</v>
      </c>
      <c r="S1396" t="inlineStr">
        <is>
          <t>Ryan</t>
        </is>
      </c>
      <c r="T1396" t="inlineStr">
        <is>
          <t>2024-09</t>
        </is>
      </c>
    </row>
    <row r="1397">
      <c r="A1397" s="16" t="n">
        <v>45556</v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0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Cust 8828</t>
        </is>
      </c>
      <c r="P1397" t="n">
        <v>14.09</v>
      </c>
      <c r="Q1397" s="16" t="n">
        <v>45556</v>
      </c>
      <c r="R1397" s="16" t="n">
        <v>45565</v>
      </c>
      <c r="S1397" t="inlineStr">
        <is>
          <t>Ryan</t>
        </is>
      </c>
      <c r="T1397" t="inlineStr">
        <is>
          <t>2024-09</t>
        </is>
      </c>
    </row>
    <row r="1398">
      <c r="A1398" s="16" t="n">
        <v>45668</v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C</t>
        </is>
      </c>
      <c r="G1398" t="inlineStr">
        <is>
          <t>Retail</t>
        </is>
      </c>
      <c r="H1398" t="n">
        <v>0.05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n">
        <v/>
      </c>
      <c r="M1398" t="n">
        <v>0</v>
      </c>
      <c r="N1398" t="inlineStr">
        <is>
          <t>REG101396</t>
        </is>
      </c>
      <c r="O1398" t="inlineStr">
        <is>
          <t>Cust 3187</t>
        </is>
      </c>
      <c r="P1398" t="n">
        <v>19.53</v>
      </c>
      <c r="Q1398" s="16" t="n">
        <v>45668</v>
      </c>
      <c r="R1398" s="16" t="n">
        <v>45673</v>
      </c>
      <c r="S1398" t="inlineStr">
        <is>
          <t>Ryan</t>
        </is>
      </c>
      <c r="T1398" t="inlineStr">
        <is>
          <t>2025-01</t>
        </is>
      </c>
    </row>
    <row r="1399">
      <c r="A1399" s="16" t="n">
        <v>44930</v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0.15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Cust 1081</t>
        </is>
      </c>
      <c r="P1399" t="n">
        <v>49.71</v>
      </c>
      <c r="Q1399" s="16" t="n">
        <v>44930</v>
      </c>
      <c r="R1399" s="16" t="n">
        <v>44934</v>
      </c>
      <c r="S1399" t="inlineStr">
        <is>
          <t>Wendy</t>
        </is>
      </c>
      <c r="T1399" t="inlineStr">
        <is>
          <t>2023-01</t>
        </is>
      </c>
    </row>
    <row r="1400">
      <c r="A1400" s="16" t="n">
        <v>45048</v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C</t>
        </is>
      </c>
      <c r="G1400" t="inlineStr">
        <is>
          <t>Wholesale</t>
        </is>
      </c>
      <c r="H1400" t="n">
        <v>0.05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n">
        <v/>
      </c>
      <c r="M1400" t="n">
        <v>1</v>
      </c>
      <c r="N1400" t="inlineStr">
        <is>
          <t>REG101398</t>
        </is>
      </c>
      <c r="O1400" t="inlineStr">
        <is>
          <t>Cust 5049</t>
        </is>
      </c>
      <c r="P1400" t="n">
        <v>37.66</v>
      </c>
      <c r="Q1400" s="16" t="n">
        <v>45048</v>
      </c>
      <c r="R1400" s="16" t="n">
        <v>45051</v>
      </c>
      <c r="S1400" t="inlineStr">
        <is>
          <t>Wendy</t>
        </is>
      </c>
      <c r="T1400" t="inlineStr">
        <is>
          <t>2023-05</t>
        </is>
      </c>
    </row>
    <row r="1401">
      <c r="A1401" s="16" t="n">
        <v>45116</v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B</t>
        </is>
      </c>
      <c r="G1401" t="inlineStr">
        <is>
          <t>Retail</t>
        </is>
      </c>
      <c r="H1401" t="n">
        <v>0.15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n">
        <v/>
      </c>
      <c r="M1401" t="n">
        <v>0</v>
      </c>
      <c r="N1401" t="inlineStr">
        <is>
          <t>REG101399</t>
        </is>
      </c>
      <c r="O1401" t="inlineStr">
        <is>
          <t>Cust 5409</t>
        </is>
      </c>
      <c r="P1401" t="n">
        <v>22.95</v>
      </c>
      <c r="Q1401" s="16" t="n">
        <v>45116</v>
      </c>
      <c r="R1401" s="16" t="n">
        <v>45121</v>
      </c>
      <c r="S1401" t="inlineStr">
        <is>
          <t>Eric</t>
        </is>
      </c>
      <c r="T1401" t="inlineStr">
        <is>
          <t>2023-07</t>
        </is>
      </c>
    </row>
    <row r="1402">
      <c r="A1402" s="16" t="n">
        <v>45715</v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D</t>
        </is>
      </c>
      <c r="G1402" t="inlineStr">
        <is>
          <t>Retail</t>
        </is>
      </c>
      <c r="H1402" t="n">
        <v>0.05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Cust 2372</t>
        </is>
      </c>
      <c r="P1402" t="n">
        <v>34.19</v>
      </c>
      <c r="Q1402" s="16" t="n">
        <v>45715</v>
      </c>
      <c r="R1402" s="16" t="n">
        <v>45720</v>
      </c>
      <c r="S1402" t="inlineStr">
        <is>
          <t>Eric</t>
        </is>
      </c>
      <c r="T1402" t="inlineStr">
        <is>
          <t>2025-02</t>
        </is>
      </c>
    </row>
    <row r="1403">
      <c r="A1403" s="16" t="n">
        <v>45558</v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B</t>
        </is>
      </c>
      <c r="G1403" t="inlineStr">
        <is>
          <t>Wholesale</t>
        </is>
      </c>
      <c r="H1403" t="n">
        <v>0.15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Cust 2741</t>
        </is>
      </c>
      <c r="P1403" t="n">
        <v>35.61</v>
      </c>
      <c r="Q1403" s="16" t="n">
        <v>45558</v>
      </c>
      <c r="R1403" s="16" t="n">
        <v>45564</v>
      </c>
      <c r="S1403" t="inlineStr">
        <is>
          <t>Wendy</t>
        </is>
      </c>
      <c r="T1403" t="inlineStr">
        <is>
          <t>2024-09</t>
        </is>
      </c>
    </row>
    <row r="1404">
      <c r="A1404" s="16" t="n">
        <v>45830</v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B</t>
        </is>
      </c>
      <c r="G1404" t="inlineStr">
        <is>
          <t>Retail</t>
        </is>
      </c>
      <c r="H1404" t="n">
        <v>0.1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n">
        <v/>
      </c>
      <c r="M1404" t="n">
        <v>0</v>
      </c>
      <c r="N1404" t="inlineStr">
        <is>
          <t>REG101402</t>
        </is>
      </c>
      <c r="O1404" t="inlineStr">
        <is>
          <t>Cust 2571</t>
        </is>
      </c>
      <c r="P1404" t="n">
        <v>14.98</v>
      </c>
      <c r="Q1404" s="16" t="n">
        <v>45830</v>
      </c>
      <c r="R1404" s="16" t="n">
        <v>45839</v>
      </c>
      <c r="S1404" t="inlineStr">
        <is>
          <t>Eric</t>
        </is>
      </c>
      <c r="T1404" t="inlineStr">
        <is>
          <t>2025-06</t>
        </is>
      </c>
    </row>
    <row r="1405">
      <c r="A1405" s="16" t="n">
        <v>45676</v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C</t>
        </is>
      </c>
      <c r="G1405" t="inlineStr">
        <is>
          <t>Wholesale</t>
        </is>
      </c>
      <c r="H1405" t="n">
        <v>0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Cust 6301</t>
        </is>
      </c>
      <c r="P1405" t="n">
        <v>18.72</v>
      </c>
      <c r="Q1405" s="16" t="n">
        <v>45676</v>
      </c>
      <c r="R1405" s="16" t="n">
        <v>45685</v>
      </c>
      <c r="S1405" t="inlineStr">
        <is>
          <t>Cameron</t>
        </is>
      </c>
      <c r="T1405" t="inlineStr">
        <is>
          <t>2025-01</t>
        </is>
      </c>
    </row>
    <row r="1406">
      <c r="A1406" s="16" t="n">
        <v>45691</v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0.15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n">
        <v/>
      </c>
      <c r="M1406" t="n">
        <v>0</v>
      </c>
      <c r="N1406" t="inlineStr">
        <is>
          <t>REG101404</t>
        </is>
      </c>
      <c r="O1406" t="inlineStr">
        <is>
          <t>Cust 7918</t>
        </is>
      </c>
      <c r="P1406" t="n">
        <v>49.59</v>
      </c>
      <c r="Q1406" s="16" t="n">
        <v>45691</v>
      </c>
      <c r="R1406" s="16" t="n">
        <v>45696</v>
      </c>
      <c r="S1406" t="inlineStr">
        <is>
          <t>Eric</t>
        </is>
      </c>
      <c r="T1406" t="inlineStr">
        <is>
          <t>2025-02</t>
        </is>
      </c>
    </row>
    <row r="1407">
      <c r="A1407" s="16" t="n">
        <v>45241</v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D</t>
        </is>
      </c>
      <c r="G1407" t="inlineStr">
        <is>
          <t>Retail</t>
        </is>
      </c>
      <c r="H1407" t="n">
        <v>0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n">
        <v/>
      </c>
      <c r="M1407" t="n">
        <v>1</v>
      </c>
      <c r="N1407" t="inlineStr">
        <is>
          <t>REG101405</t>
        </is>
      </c>
      <c r="O1407" t="inlineStr">
        <is>
          <t>Cust 3456</t>
        </is>
      </c>
      <c r="P1407" t="n">
        <v>19.37</v>
      </c>
      <c r="Q1407" s="16" t="n">
        <v>45241</v>
      </c>
      <c r="R1407" s="16" t="n">
        <v>45247</v>
      </c>
      <c r="S1407" t="inlineStr">
        <is>
          <t>Eric</t>
        </is>
      </c>
      <c r="T1407" t="inlineStr">
        <is>
          <t>2023-11</t>
        </is>
      </c>
    </row>
    <row r="1408">
      <c r="A1408" s="16" t="n">
        <v>45420</v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0.15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Cust 8272</t>
        </is>
      </c>
      <c r="P1408" t="n">
        <v>23.61</v>
      </c>
      <c r="Q1408" s="16" t="n">
        <v>45420</v>
      </c>
      <c r="R1408" s="16" t="n">
        <v>45422</v>
      </c>
      <c r="S1408" t="inlineStr">
        <is>
          <t>Eric</t>
        </is>
      </c>
      <c r="T1408" t="inlineStr">
        <is>
          <t>2024-05</t>
        </is>
      </c>
    </row>
    <row r="1409">
      <c r="A1409" s="16" t="n">
        <v>45187</v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D</t>
        </is>
      </c>
      <c r="G1409" t="inlineStr">
        <is>
          <t>Retail</t>
        </is>
      </c>
      <c r="H1409" t="n">
        <v>0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Cust 7302</t>
        </is>
      </c>
      <c r="P1409" t="n">
        <v>43.14</v>
      </c>
      <c r="Q1409" s="16" t="n">
        <v>45187</v>
      </c>
      <c r="R1409" s="16" t="n">
        <v>45196</v>
      </c>
      <c r="S1409" t="inlineStr">
        <is>
          <t>Sophie</t>
        </is>
      </c>
      <c r="T1409" t="inlineStr">
        <is>
          <t>2023-09</t>
        </is>
      </c>
    </row>
    <row r="1410">
      <c r="A1410" s="16" t="n">
        <v>45752</v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D</t>
        </is>
      </c>
      <c r="G1410" t="inlineStr">
        <is>
          <t>Retail</t>
        </is>
      </c>
      <c r="H1410" t="n">
        <v>0.05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Cust 6716</t>
        </is>
      </c>
      <c r="P1410" t="n">
        <v>48.98</v>
      </c>
      <c r="Q1410" s="16" t="n">
        <v>45752</v>
      </c>
      <c r="R1410" s="16" t="n">
        <v>45760</v>
      </c>
      <c r="S1410" t="inlineStr">
        <is>
          <t>Cameron</t>
        </is>
      </c>
      <c r="T1410" t="inlineStr">
        <is>
          <t>2025-04</t>
        </is>
      </c>
    </row>
    <row r="1411">
      <c r="A1411" s="16" t="n">
        <v>45182</v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A</t>
        </is>
      </c>
      <c r="G1411" t="inlineStr">
        <is>
          <t>Retail</t>
        </is>
      </c>
      <c r="H1411" t="n">
        <v>0.05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Cust 5484</t>
        </is>
      </c>
      <c r="P1411" t="n">
        <v>29.41</v>
      </c>
      <c r="Q1411" s="16" t="n">
        <v>45182</v>
      </c>
      <c r="R1411" s="16" t="n">
        <v>45184</v>
      </c>
      <c r="S1411" t="inlineStr">
        <is>
          <t>Cameron</t>
        </is>
      </c>
      <c r="T1411" t="inlineStr">
        <is>
          <t>2023-09</t>
        </is>
      </c>
    </row>
    <row r="1412">
      <c r="A1412" s="16" t="n">
        <v>45471</v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C</t>
        </is>
      </c>
      <c r="G1412" t="inlineStr">
        <is>
          <t>Wholesale</t>
        </is>
      </c>
      <c r="H1412" t="n">
        <v>0.05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Cust 4652</t>
        </is>
      </c>
      <c r="P1412" t="n">
        <v>22.97</v>
      </c>
      <c r="Q1412" s="16" t="n">
        <v>45471</v>
      </c>
      <c r="R1412" s="16" t="n">
        <v>45479</v>
      </c>
      <c r="S1412" t="inlineStr">
        <is>
          <t>Eric</t>
        </is>
      </c>
      <c r="T1412" t="inlineStr">
        <is>
          <t>2024-06</t>
        </is>
      </c>
    </row>
    <row r="1413">
      <c r="A1413" s="16" t="n">
        <v>45022</v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B</t>
        </is>
      </c>
      <c r="G1413" t="inlineStr">
        <is>
          <t>Wholesale</t>
        </is>
      </c>
      <c r="H1413" t="n">
        <v>0.1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n">
        <v/>
      </c>
      <c r="M1413" t="n">
        <v>0</v>
      </c>
      <c r="N1413" t="inlineStr">
        <is>
          <t>REG101411</t>
        </is>
      </c>
      <c r="O1413" t="inlineStr">
        <is>
          <t>Cust 1222</t>
        </is>
      </c>
      <c r="P1413" t="n">
        <v>11.52</v>
      </c>
      <c r="Q1413" s="16" t="n">
        <v>45022</v>
      </c>
      <c r="R1413" s="16" t="n">
        <v>45024</v>
      </c>
      <c r="S1413" t="inlineStr">
        <is>
          <t>Cameron</t>
        </is>
      </c>
      <c r="T1413" t="inlineStr">
        <is>
          <t>2023-04</t>
        </is>
      </c>
    </row>
    <row r="1414">
      <c r="A1414" s="16" t="n">
        <v>45059</v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D</t>
        </is>
      </c>
      <c r="G1414" t="inlineStr">
        <is>
          <t>Retail</t>
        </is>
      </c>
      <c r="H1414" t="n">
        <v>0.15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Cust 3559</t>
        </is>
      </c>
      <c r="P1414" t="n">
        <v>32.92</v>
      </c>
      <c r="Q1414" s="16" t="n">
        <v>45059</v>
      </c>
      <c r="R1414" s="16" t="n">
        <v>45064</v>
      </c>
      <c r="S1414" t="inlineStr">
        <is>
          <t>Sophie</t>
        </is>
      </c>
      <c r="T1414" t="inlineStr">
        <is>
          <t>2023-05</t>
        </is>
      </c>
    </row>
    <row r="1415">
      <c r="A1415" s="16" t="n">
        <v>45784</v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D</t>
        </is>
      </c>
      <c r="G1415" t="inlineStr">
        <is>
          <t>Retail</t>
        </is>
      </c>
      <c r="H1415" t="n">
        <v>0.1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Cust 1287</t>
        </is>
      </c>
      <c r="P1415" t="n">
        <v>36.34</v>
      </c>
      <c r="Q1415" s="16" t="n">
        <v>45784</v>
      </c>
      <c r="R1415" s="16" t="n">
        <v>45792</v>
      </c>
      <c r="S1415" t="inlineStr">
        <is>
          <t>Eric</t>
        </is>
      </c>
      <c r="T1415" t="inlineStr">
        <is>
          <t>2025-05</t>
        </is>
      </c>
    </row>
    <row r="1416">
      <c r="A1416" s="16" t="n">
        <v>45738</v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B</t>
        </is>
      </c>
      <c r="G1416" t="inlineStr">
        <is>
          <t>Retail</t>
        </is>
      </c>
      <c r="H1416" t="n">
        <v>0.1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Cust 5444</t>
        </is>
      </c>
      <c r="P1416" t="n">
        <v>45.25</v>
      </c>
      <c r="Q1416" s="16" t="n">
        <v>45738</v>
      </c>
      <c r="R1416" s="16" t="n">
        <v>45743</v>
      </c>
      <c r="S1416" t="inlineStr">
        <is>
          <t>Ryan</t>
        </is>
      </c>
      <c r="T1416" t="inlineStr">
        <is>
          <t>2025-03</t>
        </is>
      </c>
    </row>
    <row r="1417">
      <c r="A1417" s="16" t="n">
        <v>45467</v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C</t>
        </is>
      </c>
      <c r="G1417" t="inlineStr">
        <is>
          <t>Wholesale</t>
        </is>
      </c>
      <c r="H1417" t="n">
        <v>0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Cust 4018</t>
        </is>
      </c>
      <c r="P1417" t="n">
        <v>11.21</v>
      </c>
      <c r="Q1417" s="16" t="n">
        <v>45467</v>
      </c>
      <c r="R1417" s="16" t="n">
        <v>45475</v>
      </c>
      <c r="S1417" t="inlineStr">
        <is>
          <t>Sophie</t>
        </is>
      </c>
      <c r="T1417" t="inlineStr">
        <is>
          <t>2024-06</t>
        </is>
      </c>
    </row>
    <row r="1418">
      <c r="A1418" s="16" t="n">
        <v>45837</v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D</t>
        </is>
      </c>
      <c r="G1418" t="inlineStr">
        <is>
          <t>Retail</t>
        </is>
      </c>
      <c r="H1418" t="n">
        <v>0.15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n">
        <v/>
      </c>
      <c r="M1418" t="n">
        <v>0</v>
      </c>
      <c r="N1418" t="inlineStr">
        <is>
          <t>REG101416</t>
        </is>
      </c>
      <c r="O1418" t="inlineStr">
        <is>
          <t>Cust 6355</t>
        </is>
      </c>
      <c r="P1418" t="n">
        <v>34.76</v>
      </c>
      <c r="Q1418" s="16" t="n">
        <v>45837</v>
      </c>
      <c r="R1418" s="16" t="n">
        <v>45841</v>
      </c>
      <c r="S1418" t="inlineStr">
        <is>
          <t>Wendy</t>
        </is>
      </c>
      <c r="T1418" t="inlineStr">
        <is>
          <t>2025-06</t>
        </is>
      </c>
    </row>
    <row r="1419">
      <c r="A1419" s="16" t="n">
        <v>45383</v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B</t>
        </is>
      </c>
      <c r="G1419" t="inlineStr">
        <is>
          <t>Wholesale</t>
        </is>
      </c>
      <c r="H1419" t="n">
        <v>0.1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Cust 6620</t>
        </is>
      </c>
      <c r="P1419" t="n">
        <v>42.43</v>
      </c>
      <c r="Q1419" s="16" t="n">
        <v>45383</v>
      </c>
      <c r="R1419" s="16" t="n">
        <v>45392</v>
      </c>
      <c r="S1419" t="inlineStr">
        <is>
          <t>Wendy</t>
        </is>
      </c>
      <c r="T1419" t="inlineStr">
        <is>
          <t>2024-04</t>
        </is>
      </c>
    </row>
    <row r="1420">
      <c r="A1420" s="16" t="n">
        <v>45447</v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B</t>
        </is>
      </c>
      <c r="G1420" t="inlineStr">
        <is>
          <t>Wholesale</t>
        </is>
      </c>
      <c r="H1420" t="n">
        <v>0.05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n">
        <v/>
      </c>
      <c r="M1420" t="n">
        <v>0</v>
      </c>
      <c r="N1420" t="inlineStr">
        <is>
          <t>REG101418</t>
        </is>
      </c>
      <c r="O1420" t="inlineStr">
        <is>
          <t>Cust 4092</t>
        </is>
      </c>
      <c r="P1420" t="n">
        <v>36.05</v>
      </c>
      <c r="Q1420" s="16" t="n">
        <v>45447</v>
      </c>
      <c r="R1420" s="16" t="n">
        <v>45457</v>
      </c>
      <c r="S1420" t="inlineStr">
        <is>
          <t>Ryan</t>
        </is>
      </c>
      <c r="T1420" t="inlineStr">
        <is>
          <t>2024-06</t>
        </is>
      </c>
    </row>
    <row r="1421">
      <c r="A1421" s="16" t="n">
        <v>45015</v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B</t>
        </is>
      </c>
      <c r="G1421" t="inlineStr">
        <is>
          <t>Wholesale</t>
        </is>
      </c>
      <c r="H1421" t="n">
        <v>0.1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Cust 4812</t>
        </is>
      </c>
      <c r="P1421" t="n">
        <v>38.81</v>
      </c>
      <c r="Q1421" s="16" t="n">
        <v>45015</v>
      </c>
      <c r="R1421" s="16" t="n">
        <v>45022</v>
      </c>
      <c r="S1421" t="inlineStr">
        <is>
          <t>Eric</t>
        </is>
      </c>
      <c r="T1421" t="inlineStr">
        <is>
          <t>2023-03</t>
        </is>
      </c>
    </row>
    <row r="1422">
      <c r="A1422" s="16" t="n">
        <v>45742</v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D</t>
        </is>
      </c>
      <c r="G1422" t="inlineStr">
        <is>
          <t>Wholesale</t>
        </is>
      </c>
      <c r="H1422" t="n">
        <v>0.15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Cust 8389</t>
        </is>
      </c>
      <c r="P1422" t="n">
        <v>17.89</v>
      </c>
      <c r="Q1422" s="16" t="n">
        <v>45742</v>
      </c>
      <c r="R1422" s="16" t="n">
        <v>45744</v>
      </c>
      <c r="S1422" t="inlineStr">
        <is>
          <t>Eric</t>
        </is>
      </c>
      <c r="T1422" t="inlineStr">
        <is>
          <t>2025-03</t>
        </is>
      </c>
    </row>
    <row r="1423">
      <c r="A1423" s="16" t="n">
        <v>45160</v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B</t>
        </is>
      </c>
      <c r="G1423" t="inlineStr">
        <is>
          <t>Retail</t>
        </is>
      </c>
      <c r="H1423" t="n">
        <v>0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Cust 4529</t>
        </is>
      </c>
      <c r="P1423" t="n">
        <v>13.62</v>
      </c>
      <c r="Q1423" s="16" t="n">
        <v>45160</v>
      </c>
      <c r="R1423" s="16" t="n">
        <v>45162</v>
      </c>
      <c r="S1423" t="inlineStr">
        <is>
          <t>Wendy</t>
        </is>
      </c>
      <c r="T1423" t="inlineStr">
        <is>
          <t>2023-08</t>
        </is>
      </c>
    </row>
    <row r="1424">
      <c r="A1424" s="16" t="n">
        <v>45398</v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D</t>
        </is>
      </c>
      <c r="G1424" t="inlineStr">
        <is>
          <t>Retail</t>
        </is>
      </c>
      <c r="H1424" t="n">
        <v>0.15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Cust 2365</t>
        </is>
      </c>
      <c r="P1424" t="n">
        <v>31.04</v>
      </c>
      <c r="Q1424" s="16" t="n">
        <v>45398</v>
      </c>
      <c r="R1424" s="16" t="n">
        <v>45402</v>
      </c>
      <c r="S1424" t="inlineStr">
        <is>
          <t>Sophie</t>
        </is>
      </c>
      <c r="T1424" t="inlineStr">
        <is>
          <t>2024-04</t>
        </is>
      </c>
    </row>
    <row r="1425">
      <c r="A1425" s="16" t="n">
        <v>45788</v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0.1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Cust 6361</t>
        </is>
      </c>
      <c r="P1425" t="n">
        <v>33.37</v>
      </c>
      <c r="Q1425" s="16" t="n">
        <v>45788</v>
      </c>
      <c r="R1425" s="16" t="n">
        <v>45796</v>
      </c>
      <c r="S1425" t="inlineStr">
        <is>
          <t>Cameron</t>
        </is>
      </c>
      <c r="T1425" t="inlineStr">
        <is>
          <t>2025-05</t>
        </is>
      </c>
    </row>
    <row r="1426">
      <c r="A1426" s="16" t="n">
        <v>45271</v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C</t>
        </is>
      </c>
      <c r="G1426" t="inlineStr">
        <is>
          <t>Retail</t>
        </is>
      </c>
      <c r="H1426" t="n">
        <v>0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n">
        <v/>
      </c>
      <c r="M1426" t="n">
        <v>0</v>
      </c>
      <c r="N1426" t="inlineStr">
        <is>
          <t>REG101424</t>
        </is>
      </c>
      <c r="O1426" t="inlineStr">
        <is>
          <t>Cust 4228</t>
        </is>
      </c>
      <c r="P1426" t="n">
        <v>6.53</v>
      </c>
      <c r="Q1426" s="16" t="n">
        <v>45271</v>
      </c>
      <c r="R1426" s="16" t="n">
        <v>45281</v>
      </c>
      <c r="S1426" t="inlineStr">
        <is>
          <t>Ryan</t>
        </is>
      </c>
      <c r="T1426" t="inlineStr">
        <is>
          <t>2023-12</t>
        </is>
      </c>
    </row>
    <row r="1427">
      <c r="A1427" s="16" t="n">
        <v>44942</v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D</t>
        </is>
      </c>
      <c r="G1427" t="inlineStr">
        <is>
          <t>Wholesale</t>
        </is>
      </c>
      <c r="H1427" t="n">
        <v>0.1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n">
        <v/>
      </c>
      <c r="M1427" t="n">
        <v>0</v>
      </c>
      <c r="N1427" t="inlineStr">
        <is>
          <t>REG101425</t>
        </is>
      </c>
      <c r="O1427" t="inlineStr">
        <is>
          <t>Cust 3940</t>
        </is>
      </c>
      <c r="P1427" t="n">
        <v>41.3</v>
      </c>
      <c r="Q1427" s="16" t="n">
        <v>44942</v>
      </c>
      <c r="R1427" s="16" t="n">
        <v>44947</v>
      </c>
      <c r="S1427" t="inlineStr">
        <is>
          <t>Ryan</t>
        </is>
      </c>
      <c r="T1427" t="inlineStr">
        <is>
          <t>2023-01</t>
        </is>
      </c>
    </row>
    <row r="1428">
      <c r="A1428" s="16" t="n">
        <v>45056</v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A</t>
        </is>
      </c>
      <c r="G1428" t="inlineStr">
        <is>
          <t>Wholesale</t>
        </is>
      </c>
      <c r="H1428" t="n">
        <v>0.05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Cust 4392</t>
        </is>
      </c>
      <c r="P1428" t="n">
        <v>37.81</v>
      </c>
      <c r="Q1428" s="16" t="n">
        <v>45056</v>
      </c>
      <c r="R1428" s="16" t="n">
        <v>45063</v>
      </c>
      <c r="S1428" t="inlineStr">
        <is>
          <t>Eric</t>
        </is>
      </c>
      <c r="T1428" t="inlineStr">
        <is>
          <t>2023-05</t>
        </is>
      </c>
    </row>
    <row r="1429">
      <c r="A1429" s="16" t="n">
        <v>45465</v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C</t>
        </is>
      </c>
      <c r="G1429" t="inlineStr">
        <is>
          <t>Retail</t>
        </is>
      </c>
      <c r="H1429" t="n">
        <v>0.1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Cust 4404</t>
        </is>
      </c>
      <c r="P1429" t="n">
        <v>32.54</v>
      </c>
      <c r="Q1429" s="16" t="n">
        <v>45465</v>
      </c>
      <c r="R1429" s="16" t="n">
        <v>45472</v>
      </c>
      <c r="S1429" t="inlineStr">
        <is>
          <t>Cameron</t>
        </is>
      </c>
      <c r="T1429" t="inlineStr">
        <is>
          <t>2024-06</t>
        </is>
      </c>
    </row>
    <row r="1430">
      <c r="A1430" s="16" t="n">
        <v>45745</v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0.1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Cust 2981</t>
        </is>
      </c>
      <c r="P1430" t="n">
        <v>28.07</v>
      </c>
      <c r="Q1430" s="16" t="n">
        <v>45745</v>
      </c>
      <c r="R1430" s="16" t="n">
        <v>45754</v>
      </c>
      <c r="S1430" t="inlineStr">
        <is>
          <t>Wendy</t>
        </is>
      </c>
      <c r="T1430" t="inlineStr">
        <is>
          <t>2025-03</t>
        </is>
      </c>
    </row>
    <row r="1431">
      <c r="A1431" s="16" t="n">
        <v>45034</v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A</t>
        </is>
      </c>
      <c r="G1431" t="inlineStr">
        <is>
          <t>Wholesale</t>
        </is>
      </c>
      <c r="H1431" t="n">
        <v>0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Cust 3571</t>
        </is>
      </c>
      <c r="P1431" t="n">
        <v>21.89</v>
      </c>
      <c r="Q1431" s="16" t="n">
        <v>45034</v>
      </c>
      <c r="R1431" s="16" t="n">
        <v>45039</v>
      </c>
      <c r="S1431" t="inlineStr">
        <is>
          <t>Ryan</t>
        </is>
      </c>
      <c r="T1431" t="inlineStr">
        <is>
          <t>2023-04</t>
        </is>
      </c>
    </row>
    <row r="1432">
      <c r="A1432" s="16" t="n">
        <v>44964</v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A</t>
        </is>
      </c>
      <c r="G1432" t="inlineStr">
        <is>
          <t>Retail</t>
        </is>
      </c>
      <c r="H1432" t="n">
        <v>0.1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Cust 2592</t>
        </is>
      </c>
      <c r="P1432" t="n">
        <v>38.73</v>
      </c>
      <c r="Q1432" s="16" t="n">
        <v>44964</v>
      </c>
      <c r="R1432" s="16" t="n">
        <v>44966</v>
      </c>
      <c r="S1432" t="inlineStr">
        <is>
          <t>Cameron</t>
        </is>
      </c>
      <c r="T1432" t="inlineStr">
        <is>
          <t>2023-02</t>
        </is>
      </c>
    </row>
    <row r="1433">
      <c r="A1433" s="16" t="n">
        <v>45679</v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A</t>
        </is>
      </c>
      <c r="G1433" t="inlineStr">
        <is>
          <t>Retail</t>
        </is>
      </c>
      <c r="H1433" t="n">
        <v>0.05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n">
        <v/>
      </c>
      <c r="M1433" t="n">
        <v>0</v>
      </c>
      <c r="N1433" t="inlineStr">
        <is>
          <t>REG101431</t>
        </is>
      </c>
      <c r="O1433" t="inlineStr">
        <is>
          <t>Cust 6209</t>
        </is>
      </c>
      <c r="P1433" t="n">
        <v>43.29</v>
      </c>
      <c r="Q1433" s="16" t="n">
        <v>45679</v>
      </c>
      <c r="R1433" s="16" t="n">
        <v>45682</v>
      </c>
      <c r="S1433" t="inlineStr">
        <is>
          <t>Eric</t>
        </is>
      </c>
      <c r="T1433" t="inlineStr">
        <is>
          <t>2025-01</t>
        </is>
      </c>
    </row>
    <row r="1434">
      <c r="A1434" s="16" t="n">
        <v>45111</v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0.05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Cust 6600</t>
        </is>
      </c>
      <c r="P1434" t="n">
        <v>29.18</v>
      </c>
      <c r="Q1434" s="16" t="n">
        <v>45111</v>
      </c>
      <c r="R1434" s="16" t="n">
        <v>45119</v>
      </c>
      <c r="S1434" t="inlineStr">
        <is>
          <t>Eric</t>
        </is>
      </c>
      <c r="T1434" t="inlineStr">
        <is>
          <t>2023-07</t>
        </is>
      </c>
    </row>
    <row r="1435">
      <c r="A1435" s="16" t="n">
        <v>45138</v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B</t>
        </is>
      </c>
      <c r="G1435" t="inlineStr">
        <is>
          <t>Wholesale</t>
        </is>
      </c>
      <c r="H1435" t="n">
        <v>0.1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Cust 6899</t>
        </is>
      </c>
      <c r="P1435" t="n">
        <v>12.88</v>
      </c>
      <c r="Q1435" s="16" t="n">
        <v>45138</v>
      </c>
      <c r="R1435" s="16" t="n">
        <v>45141</v>
      </c>
      <c r="S1435" t="inlineStr">
        <is>
          <t>Cameron</t>
        </is>
      </c>
      <c r="T1435" t="inlineStr">
        <is>
          <t>2023-07</t>
        </is>
      </c>
    </row>
    <row r="1436">
      <c r="A1436" s="16" t="n">
        <v>45036</v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D</t>
        </is>
      </c>
      <c r="G1436" t="inlineStr">
        <is>
          <t>Wholesale</t>
        </is>
      </c>
      <c r="H1436" t="n">
        <v>0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Cust 1563</t>
        </is>
      </c>
      <c r="P1436" t="n">
        <v>5.13</v>
      </c>
      <c r="Q1436" s="16" t="n">
        <v>45036</v>
      </c>
      <c r="R1436" s="16" t="n">
        <v>45043</v>
      </c>
      <c r="S1436" t="inlineStr">
        <is>
          <t>Ryan</t>
        </is>
      </c>
      <c r="T1436" t="inlineStr">
        <is>
          <t>2023-04</t>
        </is>
      </c>
    </row>
    <row r="1437">
      <c r="A1437" s="16" t="n">
        <v>45573</v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D</t>
        </is>
      </c>
      <c r="G1437" t="inlineStr">
        <is>
          <t>Wholesale</t>
        </is>
      </c>
      <c r="H1437" t="n">
        <v>0.1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Cust 6733</t>
        </is>
      </c>
      <c r="P1437" t="n">
        <v>10.61</v>
      </c>
      <c r="Q1437" s="16" t="n">
        <v>45573</v>
      </c>
      <c r="R1437" s="16" t="n">
        <v>45576</v>
      </c>
      <c r="S1437" t="inlineStr">
        <is>
          <t>Cameron</t>
        </is>
      </c>
      <c r="T1437" t="inlineStr">
        <is>
          <t>2024-10</t>
        </is>
      </c>
    </row>
    <row r="1438">
      <c r="A1438" s="16" t="n">
        <v>45316</v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B</t>
        </is>
      </c>
      <c r="G1438" t="inlineStr">
        <is>
          <t>Retail</t>
        </is>
      </c>
      <c r="H1438" t="n">
        <v>0.1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Cust 7635</t>
        </is>
      </c>
      <c r="P1438" t="n">
        <v>45.89</v>
      </c>
      <c r="Q1438" s="16" t="n">
        <v>45316</v>
      </c>
      <c r="R1438" s="16" t="n">
        <v>45318</v>
      </c>
      <c r="S1438" t="inlineStr">
        <is>
          <t>Eric</t>
        </is>
      </c>
      <c r="T1438" t="inlineStr">
        <is>
          <t>2024-01</t>
        </is>
      </c>
    </row>
    <row r="1439">
      <c r="A1439" s="16" t="n">
        <v>45642</v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C</t>
        </is>
      </c>
      <c r="G1439" t="inlineStr">
        <is>
          <t>Wholesale</t>
        </is>
      </c>
      <c r="H1439" t="n">
        <v>0.05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n">
        <v/>
      </c>
      <c r="M1439" t="n">
        <v>0</v>
      </c>
      <c r="N1439" t="inlineStr">
        <is>
          <t>REG101437</t>
        </is>
      </c>
      <c r="O1439" t="inlineStr">
        <is>
          <t>Cust 4354</t>
        </is>
      </c>
      <c r="P1439" t="n">
        <v>32.16</v>
      </c>
      <c r="Q1439" s="16" t="n">
        <v>45642</v>
      </c>
      <c r="R1439" s="16" t="n">
        <v>45651</v>
      </c>
      <c r="S1439" t="inlineStr">
        <is>
          <t>Sophie</t>
        </is>
      </c>
      <c r="T1439" t="inlineStr">
        <is>
          <t>2024-12</t>
        </is>
      </c>
    </row>
    <row r="1440">
      <c r="A1440" s="16" t="n">
        <v>45589</v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0.1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Cust 1462</t>
        </is>
      </c>
      <c r="P1440" t="n">
        <v>22.24</v>
      </c>
      <c r="Q1440" s="16" t="n">
        <v>45589</v>
      </c>
      <c r="R1440" s="16" t="n">
        <v>45597</v>
      </c>
      <c r="S1440" t="inlineStr">
        <is>
          <t>Cameron</t>
        </is>
      </c>
      <c r="T1440" t="inlineStr">
        <is>
          <t>2024-10</t>
        </is>
      </c>
    </row>
    <row r="1441">
      <c r="A1441" s="16" t="n">
        <v>45246</v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0.1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Cust 1376</t>
        </is>
      </c>
      <c r="P1441" t="n">
        <v>12.86</v>
      </c>
      <c r="Q1441" s="16" t="n">
        <v>45246</v>
      </c>
      <c r="R1441" s="16" t="n">
        <v>45250</v>
      </c>
      <c r="S1441" t="inlineStr">
        <is>
          <t>Wendy</t>
        </is>
      </c>
      <c r="T1441" t="inlineStr">
        <is>
          <t>2023-11</t>
        </is>
      </c>
    </row>
    <row r="1442">
      <c r="A1442" s="16" t="n">
        <v>45382</v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D</t>
        </is>
      </c>
      <c r="G1442" t="inlineStr">
        <is>
          <t>Retail</t>
        </is>
      </c>
      <c r="H1442" t="n">
        <v>0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Cust 6542</t>
        </is>
      </c>
      <c r="P1442" t="n">
        <v>23.89</v>
      </c>
      <c r="Q1442" s="16" t="n">
        <v>45382</v>
      </c>
      <c r="R1442" s="16" t="n">
        <v>45390</v>
      </c>
      <c r="S1442" t="inlineStr">
        <is>
          <t>Sophie</t>
        </is>
      </c>
      <c r="T1442" t="inlineStr">
        <is>
          <t>2024-03</t>
        </is>
      </c>
    </row>
    <row r="1443">
      <c r="A1443" s="16" t="n">
        <v>44970</v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0.05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Cust 1186</t>
        </is>
      </c>
      <c r="P1443" t="n">
        <v>47.19</v>
      </c>
      <c r="Q1443" s="16" t="n">
        <v>44970</v>
      </c>
      <c r="R1443" s="16" t="n">
        <v>44975</v>
      </c>
      <c r="S1443" t="inlineStr">
        <is>
          <t>Eric</t>
        </is>
      </c>
      <c r="T1443" t="inlineStr">
        <is>
          <t>2023-02</t>
        </is>
      </c>
    </row>
    <row r="1444">
      <c r="A1444" s="16" t="n">
        <v>45189</v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C</t>
        </is>
      </c>
      <c r="G1444" t="inlineStr">
        <is>
          <t>Retail</t>
        </is>
      </c>
      <c r="H1444" t="n">
        <v>0.05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Cust 4386</t>
        </is>
      </c>
      <c r="P1444" t="n">
        <v>35.28</v>
      </c>
      <c r="Q1444" s="16" t="n">
        <v>45189</v>
      </c>
      <c r="R1444" s="16" t="n">
        <v>45196</v>
      </c>
      <c r="S1444" t="inlineStr">
        <is>
          <t>Sophie</t>
        </is>
      </c>
      <c r="T1444" t="inlineStr">
        <is>
          <t>2023-09</t>
        </is>
      </c>
    </row>
    <row r="1445">
      <c r="A1445" s="16" t="n">
        <v>45104</v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0.05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Cust 6708</t>
        </is>
      </c>
      <c r="P1445" t="n">
        <v>42.11</v>
      </c>
      <c r="Q1445" s="16" t="n">
        <v>45104</v>
      </c>
      <c r="R1445" s="16" t="n">
        <v>45114</v>
      </c>
      <c r="S1445" t="inlineStr">
        <is>
          <t>Sophie</t>
        </is>
      </c>
      <c r="T1445" t="inlineStr">
        <is>
          <t>2023-06</t>
        </is>
      </c>
    </row>
    <row r="1446">
      <c r="A1446" s="16" t="n">
        <v>45749</v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0.05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Cust 6354</t>
        </is>
      </c>
      <c r="P1446" t="n">
        <v>44.14</v>
      </c>
      <c r="Q1446" s="16" t="n">
        <v>45749</v>
      </c>
      <c r="R1446" s="16" t="n">
        <v>45753</v>
      </c>
      <c r="S1446" t="inlineStr">
        <is>
          <t>Cameron</t>
        </is>
      </c>
      <c r="T1446" t="inlineStr">
        <is>
          <t>2025-04</t>
        </is>
      </c>
    </row>
    <row r="1447">
      <c r="A1447" s="16" t="n">
        <v>45763</v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A</t>
        </is>
      </c>
      <c r="G1447" t="inlineStr">
        <is>
          <t>Wholesale</t>
        </is>
      </c>
      <c r="H1447" t="n">
        <v>0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Cust 3477</t>
        </is>
      </c>
      <c r="P1447" t="n">
        <v>27.55</v>
      </c>
      <c r="Q1447" s="16" t="n">
        <v>45763</v>
      </c>
      <c r="R1447" s="16" t="n">
        <v>45773</v>
      </c>
      <c r="S1447" t="inlineStr">
        <is>
          <t>Ryan</t>
        </is>
      </c>
      <c r="T1447" t="inlineStr">
        <is>
          <t>2025-04</t>
        </is>
      </c>
    </row>
    <row r="1448">
      <c r="A1448" s="16" t="n">
        <v>45482</v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D</t>
        </is>
      </c>
      <c r="G1448" t="inlineStr">
        <is>
          <t>Wholesale</t>
        </is>
      </c>
      <c r="H1448" t="n">
        <v>0.15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n">
        <v/>
      </c>
      <c r="M1448" t="n">
        <v>1</v>
      </c>
      <c r="N1448" t="inlineStr">
        <is>
          <t>REG101446</t>
        </is>
      </c>
      <c r="O1448" t="inlineStr">
        <is>
          <t>Cust 6646</t>
        </is>
      </c>
      <c r="P1448" t="n">
        <v>17.81</v>
      </c>
      <c r="Q1448" s="16" t="n">
        <v>45482</v>
      </c>
      <c r="R1448" s="16" t="n">
        <v>45490</v>
      </c>
      <c r="S1448" t="inlineStr">
        <is>
          <t>Cameron</t>
        </is>
      </c>
      <c r="T1448" t="inlineStr">
        <is>
          <t>2024-07</t>
        </is>
      </c>
    </row>
    <row r="1449">
      <c r="A1449" s="16" t="n">
        <v>45831</v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0.05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Cust 4250</t>
        </is>
      </c>
      <c r="P1449" t="n">
        <v>32.28</v>
      </c>
      <c r="Q1449" s="16" t="n">
        <v>45831</v>
      </c>
      <c r="R1449" s="16" t="n">
        <v>45841</v>
      </c>
      <c r="S1449" t="inlineStr">
        <is>
          <t>Eric</t>
        </is>
      </c>
      <c r="T1449" t="inlineStr">
        <is>
          <t>2025-06</t>
        </is>
      </c>
    </row>
    <row r="1450">
      <c r="A1450" s="16" t="n">
        <v>45452</v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B</t>
        </is>
      </c>
      <c r="G1450" t="inlineStr">
        <is>
          <t>Retail</t>
        </is>
      </c>
      <c r="H1450" t="n">
        <v>0.1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n">
        <v/>
      </c>
      <c r="M1450" t="n">
        <v>0</v>
      </c>
      <c r="N1450" t="inlineStr">
        <is>
          <t>REG101448</t>
        </is>
      </c>
      <c r="O1450" t="inlineStr">
        <is>
          <t>Cust 5351</t>
        </is>
      </c>
      <c r="P1450" t="n">
        <v>45.19</v>
      </c>
      <c r="Q1450" s="16" t="n">
        <v>45452</v>
      </c>
      <c r="R1450" s="16" t="n">
        <v>45461</v>
      </c>
      <c r="S1450" t="inlineStr">
        <is>
          <t>Eric</t>
        </is>
      </c>
      <c r="T1450" t="inlineStr">
        <is>
          <t>2024-06</t>
        </is>
      </c>
    </row>
    <row r="1451">
      <c r="A1451" s="16" t="n">
        <v>45261</v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0.05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Cust 6284</t>
        </is>
      </c>
      <c r="P1451" t="n">
        <v>24.8</v>
      </c>
      <c r="Q1451" s="16" t="n">
        <v>45261</v>
      </c>
      <c r="R1451" s="16" t="n">
        <v>45263</v>
      </c>
      <c r="S1451" t="inlineStr">
        <is>
          <t>Cameron</t>
        </is>
      </c>
      <c r="T1451" t="inlineStr">
        <is>
          <t>2023-12</t>
        </is>
      </c>
    </row>
    <row r="1452">
      <c r="A1452" s="16" t="n">
        <v>45497</v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0.05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Cust 9099</t>
        </is>
      </c>
      <c r="P1452" t="n">
        <v>24.38</v>
      </c>
      <c r="Q1452" s="16" t="n">
        <v>45497</v>
      </c>
      <c r="R1452" s="16" t="n">
        <v>45503</v>
      </c>
      <c r="S1452" t="inlineStr">
        <is>
          <t>Wendy</t>
        </is>
      </c>
      <c r="T1452" t="inlineStr">
        <is>
          <t>2024-07</t>
        </is>
      </c>
    </row>
    <row r="1453">
      <c r="A1453" s="16" t="n">
        <v>45028</v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0.15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Cust 3944</t>
        </is>
      </c>
      <c r="P1453" t="n">
        <v>14.92</v>
      </c>
      <c r="Q1453" s="16" t="n">
        <v>45028</v>
      </c>
      <c r="R1453" s="16" t="n">
        <v>45035</v>
      </c>
      <c r="S1453" t="inlineStr">
        <is>
          <t>Wendy</t>
        </is>
      </c>
      <c r="T1453" t="inlineStr">
        <is>
          <t>2023-04</t>
        </is>
      </c>
    </row>
    <row r="1454">
      <c r="A1454" s="16" t="n">
        <v>45643</v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B</t>
        </is>
      </c>
      <c r="G1454" t="inlineStr">
        <is>
          <t>Retail</t>
        </is>
      </c>
      <c r="H1454" t="n">
        <v>0.15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Cust 6124</t>
        </is>
      </c>
      <c r="P1454" t="n">
        <v>12.63</v>
      </c>
      <c r="Q1454" s="16" t="n">
        <v>45643</v>
      </c>
      <c r="R1454" s="16" t="n">
        <v>45652</v>
      </c>
      <c r="S1454" t="inlineStr">
        <is>
          <t>Ryan</t>
        </is>
      </c>
      <c r="T1454" t="inlineStr">
        <is>
          <t>2024-12</t>
        </is>
      </c>
    </row>
    <row r="1455">
      <c r="A1455" s="16" t="n">
        <v>45512</v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D</t>
        </is>
      </c>
      <c r="G1455" t="inlineStr">
        <is>
          <t>Wholesale</t>
        </is>
      </c>
      <c r="H1455" t="n">
        <v>0.15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Cust 8533</t>
        </is>
      </c>
      <c r="P1455" t="n">
        <v>26.68</v>
      </c>
      <c r="Q1455" s="16" t="n">
        <v>45512</v>
      </c>
      <c r="R1455" s="16" t="n">
        <v>45518</v>
      </c>
      <c r="S1455" t="inlineStr">
        <is>
          <t>Sophie</t>
        </is>
      </c>
      <c r="T1455" t="inlineStr">
        <is>
          <t>2024-08</t>
        </is>
      </c>
    </row>
    <row r="1456">
      <c r="A1456" s="16" t="n">
        <v>45550</v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0.1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Cust 1135</t>
        </is>
      </c>
      <c r="P1456" t="n">
        <v>16.67</v>
      </c>
      <c r="Q1456" s="16" t="n">
        <v>45550</v>
      </c>
      <c r="R1456" s="16" t="n">
        <v>45557</v>
      </c>
      <c r="S1456" t="inlineStr">
        <is>
          <t>Eric</t>
        </is>
      </c>
      <c r="T1456" t="inlineStr">
        <is>
          <t>2024-09</t>
        </is>
      </c>
    </row>
    <row r="1457">
      <c r="A1457" s="16" t="n">
        <v>45207</v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0.1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Cust 5638</t>
        </is>
      </c>
      <c r="P1457" t="n">
        <v>40.74</v>
      </c>
      <c r="Q1457" s="16" t="n">
        <v>45207</v>
      </c>
      <c r="R1457" s="16" t="n">
        <v>45209</v>
      </c>
      <c r="S1457" t="inlineStr">
        <is>
          <t>Sophie</t>
        </is>
      </c>
      <c r="T1457" t="inlineStr">
        <is>
          <t>2023-10</t>
        </is>
      </c>
    </row>
    <row r="1458">
      <c r="A1458" s="16" t="n">
        <v>45800</v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0.15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Cust 1333</t>
        </is>
      </c>
      <c r="P1458" t="n">
        <v>9.42</v>
      </c>
      <c r="Q1458" s="16" t="n">
        <v>45800</v>
      </c>
      <c r="R1458" s="16" t="n">
        <v>45804</v>
      </c>
      <c r="S1458" t="inlineStr">
        <is>
          <t>Sophie</t>
        </is>
      </c>
      <c r="T1458" t="inlineStr">
        <is>
          <t>2025-05</t>
        </is>
      </c>
    </row>
    <row r="1459">
      <c r="A1459" s="16" t="n">
        <v>44928</v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0.15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Cust 2394</t>
        </is>
      </c>
      <c r="P1459" t="n">
        <v>14.44</v>
      </c>
      <c r="Q1459" s="16" t="n">
        <v>44928</v>
      </c>
      <c r="R1459" s="16" t="n">
        <v>44938</v>
      </c>
      <c r="S1459" t="inlineStr">
        <is>
          <t>Sophie</t>
        </is>
      </c>
      <c r="T1459" t="inlineStr">
        <is>
          <t>2023-01</t>
        </is>
      </c>
    </row>
    <row r="1460">
      <c r="A1460" s="16" t="n">
        <v>45218</v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n">
        <v/>
      </c>
      <c r="M1460" t="n">
        <v>1</v>
      </c>
      <c r="N1460" t="inlineStr">
        <is>
          <t>REG101458</t>
        </is>
      </c>
      <c r="O1460" t="inlineStr">
        <is>
          <t>Cust 8495</t>
        </is>
      </c>
      <c r="P1460" t="n">
        <v>33.86</v>
      </c>
      <c r="Q1460" s="16" t="n">
        <v>45218</v>
      </c>
      <c r="R1460" s="16" t="n">
        <v>45227</v>
      </c>
      <c r="S1460" t="inlineStr">
        <is>
          <t>Ryan</t>
        </is>
      </c>
      <c r="T1460" t="inlineStr">
        <is>
          <t>2023-10</t>
        </is>
      </c>
    </row>
    <row r="1461">
      <c r="A1461" s="16" t="n">
        <v>45772</v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0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Cust 3988</t>
        </is>
      </c>
      <c r="P1461" t="n">
        <v>9.65</v>
      </c>
      <c r="Q1461" s="16" t="n">
        <v>45772</v>
      </c>
      <c r="R1461" s="16" t="n">
        <v>45778</v>
      </c>
      <c r="S1461" t="inlineStr">
        <is>
          <t>Wendy</t>
        </is>
      </c>
      <c r="T1461" t="inlineStr">
        <is>
          <t>2025-04</t>
        </is>
      </c>
    </row>
    <row r="1462">
      <c r="A1462" s="16" t="n">
        <v>45382</v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C</t>
        </is>
      </c>
      <c r="G1462" t="inlineStr">
        <is>
          <t>Wholesale</t>
        </is>
      </c>
      <c r="H1462" t="n">
        <v>0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Cust 4664</t>
        </is>
      </c>
      <c r="P1462" t="n">
        <v>9.85</v>
      </c>
      <c r="Q1462" s="16" t="n">
        <v>45382</v>
      </c>
      <c r="R1462" s="16" t="n">
        <v>45386</v>
      </c>
      <c r="S1462" t="inlineStr">
        <is>
          <t>Cameron</t>
        </is>
      </c>
      <c r="T1462" t="inlineStr">
        <is>
          <t>2024-03</t>
        </is>
      </c>
    </row>
    <row r="1463">
      <c r="A1463" s="16" t="n">
        <v>45688</v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B</t>
        </is>
      </c>
      <c r="G1463" t="inlineStr">
        <is>
          <t>Retail</t>
        </is>
      </c>
      <c r="H1463" t="n">
        <v>0.15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n">
        <v/>
      </c>
      <c r="M1463" t="n">
        <v>1</v>
      </c>
      <c r="N1463" t="inlineStr">
        <is>
          <t>REG101461</t>
        </is>
      </c>
      <c r="O1463" t="inlineStr">
        <is>
          <t>Cust 5086</t>
        </is>
      </c>
      <c r="P1463" t="n">
        <v>38.46</v>
      </c>
      <c r="Q1463" s="16" t="n">
        <v>45688</v>
      </c>
      <c r="R1463" s="16" t="n">
        <v>45695</v>
      </c>
      <c r="S1463" t="inlineStr">
        <is>
          <t>Ryan</t>
        </is>
      </c>
      <c r="T1463" t="inlineStr">
        <is>
          <t>2025-01</t>
        </is>
      </c>
    </row>
    <row r="1464">
      <c r="A1464" s="16" t="n">
        <v>45743</v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D</t>
        </is>
      </c>
      <c r="G1464" t="inlineStr">
        <is>
          <t>Wholesale</t>
        </is>
      </c>
      <c r="H1464" t="n">
        <v>0.05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n">
        <v/>
      </c>
      <c r="M1464" t="n">
        <v>0</v>
      </c>
      <c r="N1464" t="inlineStr">
        <is>
          <t>REG101462</t>
        </is>
      </c>
      <c r="O1464" t="inlineStr">
        <is>
          <t>Cust 8858</t>
        </is>
      </c>
      <c r="P1464" t="n">
        <v>25.82</v>
      </c>
      <c r="Q1464" s="16" t="n">
        <v>45743</v>
      </c>
      <c r="R1464" s="16" t="n">
        <v>45753</v>
      </c>
      <c r="S1464" t="inlineStr">
        <is>
          <t>Eric</t>
        </is>
      </c>
      <c r="T1464" t="inlineStr">
        <is>
          <t>2025-03</t>
        </is>
      </c>
    </row>
    <row r="1465">
      <c r="A1465" s="16" t="n">
        <v>45676</v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0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n">
        <v/>
      </c>
      <c r="M1465" t="n">
        <v>1</v>
      </c>
      <c r="N1465" t="inlineStr">
        <is>
          <t>REG101463</t>
        </is>
      </c>
      <c r="O1465" t="inlineStr">
        <is>
          <t>Cust 8796</t>
        </is>
      </c>
      <c r="P1465" t="n">
        <v>30.18</v>
      </c>
      <c r="Q1465" s="16" t="n">
        <v>45676</v>
      </c>
      <c r="R1465" s="16" t="n">
        <v>45681</v>
      </c>
      <c r="S1465" t="inlineStr">
        <is>
          <t>Cameron</t>
        </is>
      </c>
      <c r="T1465" t="inlineStr">
        <is>
          <t>2025-01</t>
        </is>
      </c>
    </row>
    <row r="1466">
      <c r="A1466" s="16" t="n">
        <v>45428</v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C</t>
        </is>
      </c>
      <c r="G1466" t="inlineStr">
        <is>
          <t>Retail</t>
        </is>
      </c>
      <c r="H1466" t="n">
        <v>0.1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Cust 2496</t>
        </is>
      </c>
      <c r="P1466" t="n">
        <v>35.37</v>
      </c>
      <c r="Q1466" s="16" t="n">
        <v>45428</v>
      </c>
      <c r="R1466" s="16" t="n">
        <v>45433</v>
      </c>
      <c r="S1466" t="inlineStr">
        <is>
          <t>Ryan</t>
        </is>
      </c>
      <c r="T1466" t="inlineStr">
        <is>
          <t>2024-05</t>
        </is>
      </c>
    </row>
    <row r="1467">
      <c r="A1467" s="16" t="n">
        <v>45173</v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A</t>
        </is>
      </c>
      <c r="G1467" t="inlineStr">
        <is>
          <t>Wholesale</t>
        </is>
      </c>
      <c r="H1467" t="n">
        <v>0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n">
        <v/>
      </c>
      <c r="M1467" t="n">
        <v>0</v>
      </c>
      <c r="N1467" t="inlineStr">
        <is>
          <t>REG101465</t>
        </is>
      </c>
      <c r="O1467" t="inlineStr">
        <is>
          <t>Cust 5465</t>
        </is>
      </c>
      <c r="P1467" t="n">
        <v>31.85</v>
      </c>
      <c r="Q1467" s="16" t="n">
        <v>45173</v>
      </c>
      <c r="R1467" s="16" t="n">
        <v>45175</v>
      </c>
      <c r="S1467" t="inlineStr">
        <is>
          <t>Cameron</t>
        </is>
      </c>
      <c r="T1467" t="inlineStr">
        <is>
          <t>2023-09</t>
        </is>
      </c>
    </row>
    <row r="1468">
      <c r="A1468" s="16" t="n">
        <v>45277</v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B</t>
        </is>
      </c>
      <c r="G1468" t="inlineStr">
        <is>
          <t>Retail</t>
        </is>
      </c>
      <c r="H1468" t="n">
        <v>0.15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n">
        <v/>
      </c>
      <c r="M1468" t="n">
        <v>0</v>
      </c>
      <c r="N1468" t="inlineStr">
        <is>
          <t>REG101466</t>
        </is>
      </c>
      <c r="O1468" t="inlineStr">
        <is>
          <t>Cust 2311</t>
        </is>
      </c>
      <c r="P1468" t="n">
        <v>31.09</v>
      </c>
      <c r="Q1468" s="16" t="n">
        <v>45277</v>
      </c>
      <c r="R1468" s="16" t="n">
        <v>45283</v>
      </c>
      <c r="S1468" t="inlineStr">
        <is>
          <t>Sophie</t>
        </is>
      </c>
      <c r="T1468" t="inlineStr">
        <is>
          <t>2023-12</t>
        </is>
      </c>
    </row>
    <row r="1469">
      <c r="A1469" s="16" t="n">
        <v>45306</v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0.05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Cust 4575</t>
        </is>
      </c>
      <c r="P1469" t="n">
        <v>32.36</v>
      </c>
      <c r="Q1469" s="16" t="n">
        <v>45306</v>
      </c>
      <c r="R1469" s="16" t="n">
        <v>45312</v>
      </c>
      <c r="S1469" t="inlineStr">
        <is>
          <t>Cameron</t>
        </is>
      </c>
      <c r="T1469" t="inlineStr">
        <is>
          <t>2024-01</t>
        </is>
      </c>
    </row>
    <row r="1470">
      <c r="A1470" s="16" t="n">
        <v>45645</v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C</t>
        </is>
      </c>
      <c r="G1470" t="inlineStr">
        <is>
          <t>Retail</t>
        </is>
      </c>
      <c r="H1470" t="n">
        <v>0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Cust 8054</t>
        </is>
      </c>
      <c r="P1470" t="n">
        <v>35.94</v>
      </c>
      <c r="Q1470" s="16" t="n">
        <v>45645</v>
      </c>
      <c r="R1470" s="16" t="n">
        <v>45655</v>
      </c>
      <c r="S1470" t="inlineStr">
        <is>
          <t>Cameron</t>
        </is>
      </c>
      <c r="T1470" t="inlineStr">
        <is>
          <t>2024-12</t>
        </is>
      </c>
    </row>
    <row r="1471">
      <c r="A1471" s="16" t="n">
        <v>45276</v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C</t>
        </is>
      </c>
      <c r="G1471" t="inlineStr">
        <is>
          <t>Wholesale</t>
        </is>
      </c>
      <c r="H1471" t="n">
        <v>0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Cust 2553</t>
        </is>
      </c>
      <c r="P1471" t="n">
        <v>28.73</v>
      </c>
      <c r="Q1471" s="16" t="n">
        <v>45276</v>
      </c>
      <c r="R1471" s="16" t="n">
        <v>45278</v>
      </c>
      <c r="S1471" t="inlineStr">
        <is>
          <t>Ryan</t>
        </is>
      </c>
      <c r="T1471" t="inlineStr">
        <is>
          <t>2023-12</t>
        </is>
      </c>
    </row>
    <row r="1472">
      <c r="A1472" s="16" t="n">
        <v>45791</v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D</t>
        </is>
      </c>
      <c r="G1472" t="inlineStr">
        <is>
          <t>Retail</t>
        </is>
      </c>
      <c r="H1472" t="n">
        <v>0.05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Cust 7547</t>
        </is>
      </c>
      <c r="P1472" t="n">
        <v>5.1</v>
      </c>
      <c r="Q1472" s="16" t="n">
        <v>45791</v>
      </c>
      <c r="R1472" s="16" t="n">
        <v>45795</v>
      </c>
      <c r="S1472" t="inlineStr">
        <is>
          <t>Cameron</t>
        </is>
      </c>
      <c r="T1472" t="inlineStr">
        <is>
          <t>2025-05</t>
        </is>
      </c>
    </row>
    <row r="1473">
      <c r="A1473" s="16" t="n">
        <v>45107</v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0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Cust 8150</t>
        </is>
      </c>
      <c r="P1473" t="n">
        <v>35.32</v>
      </c>
      <c r="Q1473" s="16" t="n">
        <v>45107</v>
      </c>
      <c r="R1473" s="16" t="n">
        <v>45109</v>
      </c>
      <c r="S1473" t="inlineStr">
        <is>
          <t>Sophie</t>
        </is>
      </c>
      <c r="T1473" t="inlineStr">
        <is>
          <t>2023-06</t>
        </is>
      </c>
    </row>
    <row r="1474">
      <c r="A1474" s="16" t="n">
        <v>45838</v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B</t>
        </is>
      </c>
      <c r="G1474" t="inlineStr">
        <is>
          <t>Wholesale</t>
        </is>
      </c>
      <c r="H1474" t="n">
        <v>0.1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n">
        <v/>
      </c>
      <c r="M1474" t="n">
        <v>1</v>
      </c>
      <c r="N1474" t="inlineStr">
        <is>
          <t>REG101472</t>
        </is>
      </c>
      <c r="O1474" t="inlineStr">
        <is>
          <t>Cust 5635</t>
        </is>
      </c>
      <c r="P1474" t="n">
        <v>20.05</v>
      </c>
      <c r="Q1474" s="16" t="n">
        <v>45838</v>
      </c>
      <c r="R1474" s="16" t="n">
        <v>45845</v>
      </c>
      <c r="S1474" t="inlineStr">
        <is>
          <t>Sophie</t>
        </is>
      </c>
      <c r="T1474" t="inlineStr">
        <is>
          <t>2025-06</t>
        </is>
      </c>
    </row>
    <row r="1475">
      <c r="A1475" s="16" t="n">
        <v>45730</v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B</t>
        </is>
      </c>
      <c r="G1475" t="inlineStr">
        <is>
          <t>Retail</t>
        </is>
      </c>
      <c r="H1475" t="n">
        <v>0.15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Cust 4360</t>
        </is>
      </c>
      <c r="P1475" t="n">
        <v>47.93</v>
      </c>
      <c r="Q1475" s="16" t="n">
        <v>45730</v>
      </c>
      <c r="R1475" s="16" t="n">
        <v>45738</v>
      </c>
      <c r="S1475" t="inlineStr">
        <is>
          <t>Cameron</t>
        </is>
      </c>
      <c r="T1475" t="inlineStr">
        <is>
          <t>2025-03</t>
        </is>
      </c>
    </row>
    <row r="1476">
      <c r="A1476" s="16" t="n">
        <v>45034</v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B</t>
        </is>
      </c>
      <c r="G1476" t="inlineStr">
        <is>
          <t>Retail</t>
        </is>
      </c>
      <c r="H1476" t="n">
        <v>0.15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Cust 1624</t>
        </is>
      </c>
      <c r="P1476" t="n">
        <v>13</v>
      </c>
      <c r="Q1476" s="16" t="n">
        <v>45034</v>
      </c>
      <c r="R1476" s="16" t="n">
        <v>45043</v>
      </c>
      <c r="S1476" t="inlineStr">
        <is>
          <t>Sophie</t>
        </is>
      </c>
      <c r="T1476" t="inlineStr">
        <is>
          <t>2023-04</t>
        </is>
      </c>
    </row>
    <row r="1477">
      <c r="A1477" s="16" t="n">
        <v>45546</v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C</t>
        </is>
      </c>
      <c r="G1477" t="inlineStr">
        <is>
          <t>Wholesale</t>
        </is>
      </c>
      <c r="H1477" t="n">
        <v>0.15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Cust 6593</t>
        </is>
      </c>
      <c r="P1477" t="n">
        <v>22.88</v>
      </c>
      <c r="Q1477" s="16" t="n">
        <v>45546</v>
      </c>
      <c r="R1477" s="16" t="n">
        <v>45554</v>
      </c>
      <c r="S1477" t="inlineStr">
        <is>
          <t>Wendy</t>
        </is>
      </c>
      <c r="T1477" t="inlineStr">
        <is>
          <t>2024-09</t>
        </is>
      </c>
    </row>
    <row r="1478">
      <c r="A1478" s="16" t="n">
        <v>45251</v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D</t>
        </is>
      </c>
      <c r="G1478" t="inlineStr">
        <is>
          <t>Retail</t>
        </is>
      </c>
      <c r="H1478" t="n">
        <v>0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Cust 9072</t>
        </is>
      </c>
      <c r="P1478" t="n">
        <v>40.47</v>
      </c>
      <c r="Q1478" s="16" t="n">
        <v>45251</v>
      </c>
      <c r="R1478" s="16" t="n">
        <v>45258</v>
      </c>
      <c r="S1478" t="inlineStr">
        <is>
          <t>Cameron</t>
        </is>
      </c>
      <c r="T1478" t="inlineStr">
        <is>
          <t>2023-11</t>
        </is>
      </c>
    </row>
    <row r="1479">
      <c r="A1479" s="16" t="n">
        <v>45351</v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B</t>
        </is>
      </c>
      <c r="G1479" t="inlineStr">
        <is>
          <t>Retail</t>
        </is>
      </c>
      <c r="H1479" t="n">
        <v>0.05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Cust 1116</t>
        </is>
      </c>
      <c r="P1479" t="n">
        <v>33.1</v>
      </c>
      <c r="Q1479" s="16" t="n">
        <v>45351</v>
      </c>
      <c r="R1479" s="16" t="n">
        <v>45358</v>
      </c>
      <c r="S1479" t="inlineStr">
        <is>
          <t>Wendy</t>
        </is>
      </c>
      <c r="T1479" t="inlineStr">
        <is>
          <t>2024-02</t>
        </is>
      </c>
    </row>
    <row r="1480">
      <c r="A1480" s="16" t="n">
        <v>45057</v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0.05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Cust 8458</t>
        </is>
      </c>
      <c r="P1480" t="n">
        <v>47.14</v>
      </c>
      <c r="Q1480" s="16" t="n">
        <v>45057</v>
      </c>
      <c r="R1480" s="16" t="n">
        <v>45061</v>
      </c>
      <c r="S1480" t="inlineStr">
        <is>
          <t>Wendy</t>
        </is>
      </c>
      <c r="T1480" t="inlineStr">
        <is>
          <t>2023-05</t>
        </is>
      </c>
    </row>
    <row r="1481">
      <c r="A1481" s="16" t="n">
        <v>45546</v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C</t>
        </is>
      </c>
      <c r="G1481" t="inlineStr">
        <is>
          <t>Retail</t>
        </is>
      </c>
      <c r="H1481" t="n">
        <v>0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Cust 5409</t>
        </is>
      </c>
      <c r="P1481" t="n">
        <v>8.5</v>
      </c>
      <c r="Q1481" s="16" t="n">
        <v>45546</v>
      </c>
      <c r="R1481" s="16" t="n">
        <v>45555</v>
      </c>
      <c r="S1481" t="inlineStr">
        <is>
          <t>Sophie</t>
        </is>
      </c>
      <c r="T1481" t="inlineStr">
        <is>
          <t>2024-09</t>
        </is>
      </c>
    </row>
    <row r="1482">
      <c r="A1482" s="16" t="n">
        <v>45520</v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B</t>
        </is>
      </c>
      <c r="G1482" t="inlineStr">
        <is>
          <t>Retail</t>
        </is>
      </c>
      <c r="H1482" t="n">
        <v>0.1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n">
        <v/>
      </c>
      <c r="M1482" t="n">
        <v>0</v>
      </c>
      <c r="N1482" t="inlineStr">
        <is>
          <t>REG101480</t>
        </is>
      </c>
      <c r="O1482" t="inlineStr">
        <is>
          <t>Cust 8847</t>
        </is>
      </c>
      <c r="P1482" t="n">
        <v>42.52</v>
      </c>
      <c r="Q1482" s="16" t="n">
        <v>45520</v>
      </c>
      <c r="R1482" s="16" t="n">
        <v>45526</v>
      </c>
      <c r="S1482" t="inlineStr">
        <is>
          <t>Wendy</t>
        </is>
      </c>
      <c r="T1482" t="inlineStr">
        <is>
          <t>2024-08</t>
        </is>
      </c>
    </row>
    <row r="1483">
      <c r="A1483" s="16" t="n">
        <v>45807</v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A</t>
        </is>
      </c>
      <c r="G1483" t="inlineStr">
        <is>
          <t>Retail</t>
        </is>
      </c>
      <c r="H1483" t="n">
        <v>0.05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n">
        <v/>
      </c>
      <c r="M1483" t="n">
        <v>0</v>
      </c>
      <c r="N1483" t="inlineStr">
        <is>
          <t>REG101481</t>
        </is>
      </c>
      <c r="O1483" t="inlineStr">
        <is>
          <t>Cust 7857</t>
        </is>
      </c>
      <c r="P1483" t="n">
        <v>48.6</v>
      </c>
      <c r="Q1483" s="16" t="n">
        <v>45807</v>
      </c>
      <c r="R1483" s="16" t="n">
        <v>45815</v>
      </c>
      <c r="S1483" t="inlineStr">
        <is>
          <t>Ryan</t>
        </is>
      </c>
      <c r="T1483" t="inlineStr">
        <is>
          <t>2025-05</t>
        </is>
      </c>
    </row>
    <row r="1484">
      <c r="A1484" s="16" t="n">
        <v>45160</v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0.1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Cust 7810</t>
        </is>
      </c>
      <c r="P1484" t="n">
        <v>35.94</v>
      </c>
      <c r="Q1484" s="16" t="n">
        <v>45160</v>
      </c>
      <c r="R1484" s="16" t="n">
        <v>45166</v>
      </c>
      <c r="S1484" t="inlineStr">
        <is>
          <t>Eric</t>
        </is>
      </c>
      <c r="T1484" t="inlineStr">
        <is>
          <t>2023-08</t>
        </is>
      </c>
    </row>
    <row r="1485">
      <c r="A1485" s="16" t="n">
        <v>45314</v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D</t>
        </is>
      </c>
      <c r="G1485" t="inlineStr">
        <is>
          <t>Wholesale</t>
        </is>
      </c>
      <c r="H1485" t="n">
        <v>0.05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Cust 5665</t>
        </is>
      </c>
      <c r="P1485" t="n">
        <v>24.55</v>
      </c>
      <c r="Q1485" s="16" t="n">
        <v>45314</v>
      </c>
      <c r="R1485" s="16" t="n">
        <v>45316</v>
      </c>
      <c r="S1485" t="inlineStr">
        <is>
          <t>Eric</t>
        </is>
      </c>
      <c r="T1485" t="inlineStr">
        <is>
          <t>2024-01</t>
        </is>
      </c>
    </row>
    <row r="1486">
      <c r="A1486" s="16" t="n">
        <v>45001</v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0.15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Cust 8015</t>
        </is>
      </c>
      <c r="P1486" t="n">
        <v>37.94</v>
      </c>
      <c r="Q1486" s="16" t="n">
        <v>45001</v>
      </c>
      <c r="R1486" s="16" t="n">
        <v>45008</v>
      </c>
      <c r="S1486" t="inlineStr">
        <is>
          <t>Ryan</t>
        </is>
      </c>
      <c r="T1486" t="inlineStr">
        <is>
          <t>2023-03</t>
        </is>
      </c>
    </row>
    <row r="1487">
      <c r="A1487" s="16" t="n">
        <v>45793</v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D</t>
        </is>
      </c>
      <c r="G1487" t="inlineStr">
        <is>
          <t>Retail</t>
        </is>
      </c>
      <c r="H1487" t="n">
        <v>0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Cust 7211</t>
        </is>
      </c>
      <c r="P1487" t="n">
        <v>6.78</v>
      </c>
      <c r="Q1487" s="16" t="n">
        <v>45793</v>
      </c>
      <c r="R1487" s="16" t="n">
        <v>45798</v>
      </c>
      <c r="S1487" t="inlineStr">
        <is>
          <t>Sophie</t>
        </is>
      </c>
      <c r="T1487" t="inlineStr">
        <is>
          <t>2025-05</t>
        </is>
      </c>
    </row>
    <row r="1488">
      <c r="A1488" s="16" t="n">
        <v>45069</v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D</t>
        </is>
      </c>
      <c r="G1488" t="inlineStr">
        <is>
          <t>Wholesale</t>
        </is>
      </c>
      <c r="H1488" t="n">
        <v>0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Cust 8705</t>
        </is>
      </c>
      <c r="P1488" t="n">
        <v>9.1</v>
      </c>
      <c r="Q1488" s="16" t="n">
        <v>45069</v>
      </c>
      <c r="R1488" s="16" t="n">
        <v>45075</v>
      </c>
      <c r="S1488" t="inlineStr">
        <is>
          <t>Eric</t>
        </is>
      </c>
      <c r="T1488" t="inlineStr">
        <is>
          <t>2023-05</t>
        </is>
      </c>
    </row>
    <row r="1489">
      <c r="A1489" s="16" t="n">
        <v>45459</v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B</t>
        </is>
      </c>
      <c r="G1489" t="inlineStr">
        <is>
          <t>Wholesale</t>
        </is>
      </c>
      <c r="H1489" t="n">
        <v>0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Cust 2905</t>
        </is>
      </c>
      <c r="P1489" t="n">
        <v>10.86</v>
      </c>
      <c r="Q1489" s="16" t="n">
        <v>45459</v>
      </c>
      <c r="R1489" s="16" t="n">
        <v>45466</v>
      </c>
      <c r="S1489" t="inlineStr">
        <is>
          <t>Ryan</t>
        </is>
      </c>
      <c r="T1489" t="inlineStr">
        <is>
          <t>2024-06</t>
        </is>
      </c>
    </row>
    <row r="1490">
      <c r="A1490" s="16" t="n">
        <v>45685</v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0.05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Cust 5777</t>
        </is>
      </c>
      <c r="P1490" t="n">
        <v>38.93</v>
      </c>
      <c r="Q1490" s="16" t="n">
        <v>45685</v>
      </c>
      <c r="R1490" s="16" t="n">
        <v>45692</v>
      </c>
      <c r="S1490" t="inlineStr">
        <is>
          <t>Cameron</t>
        </is>
      </c>
      <c r="T1490" t="inlineStr">
        <is>
          <t>2025-01</t>
        </is>
      </c>
    </row>
    <row r="1491">
      <c r="A1491" s="16" t="n">
        <v>45623</v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B</t>
        </is>
      </c>
      <c r="G1491" t="inlineStr">
        <is>
          <t>Retail</t>
        </is>
      </c>
      <c r="H1491" t="n">
        <v>0.1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n">
        <v/>
      </c>
      <c r="M1491" t="n">
        <v>0</v>
      </c>
      <c r="N1491" t="inlineStr">
        <is>
          <t>REG101489</t>
        </is>
      </c>
      <c r="O1491" t="inlineStr">
        <is>
          <t>Cust 6695</t>
        </is>
      </c>
      <c r="P1491" t="n">
        <v>10.12</v>
      </c>
      <c r="Q1491" s="16" t="n">
        <v>45623</v>
      </c>
      <c r="R1491" s="16" t="n">
        <v>45633</v>
      </c>
      <c r="S1491" t="inlineStr">
        <is>
          <t>Sophie</t>
        </is>
      </c>
      <c r="T1491" t="inlineStr">
        <is>
          <t>2024-11</t>
        </is>
      </c>
    </row>
    <row r="1492">
      <c r="A1492" s="16" t="n">
        <v>45208</v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A</t>
        </is>
      </c>
      <c r="G1492" t="inlineStr">
        <is>
          <t>Wholesale</t>
        </is>
      </c>
      <c r="H1492" t="n">
        <v>0.1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Cust 1977</t>
        </is>
      </c>
      <c r="P1492" t="n">
        <v>19.46</v>
      </c>
      <c r="Q1492" s="16" t="n">
        <v>45208</v>
      </c>
      <c r="R1492" s="16" t="n">
        <v>45210</v>
      </c>
      <c r="S1492" t="inlineStr">
        <is>
          <t>Cameron</t>
        </is>
      </c>
      <c r="T1492" t="inlineStr">
        <is>
          <t>2023-10</t>
        </is>
      </c>
    </row>
    <row r="1493">
      <c r="A1493" s="16" t="n">
        <v>45494</v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A</t>
        </is>
      </c>
      <c r="G1493" t="inlineStr">
        <is>
          <t>Wholesale</t>
        </is>
      </c>
      <c r="H1493" t="n">
        <v>0.05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Cust 7979</t>
        </is>
      </c>
      <c r="P1493" t="n">
        <v>6.56</v>
      </c>
      <c r="Q1493" s="16" t="n">
        <v>45494</v>
      </c>
      <c r="R1493" s="16" t="n">
        <v>45504</v>
      </c>
      <c r="S1493" t="inlineStr">
        <is>
          <t>Wendy</t>
        </is>
      </c>
      <c r="T1493" t="inlineStr">
        <is>
          <t>2024-07</t>
        </is>
      </c>
    </row>
    <row r="1494">
      <c r="A1494" s="16" t="n">
        <v>45476</v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A</t>
        </is>
      </c>
      <c r="G1494" t="inlineStr">
        <is>
          <t>Retail</t>
        </is>
      </c>
      <c r="H1494" t="n">
        <v>0.05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Cust 2437</t>
        </is>
      </c>
      <c r="P1494" t="n">
        <v>26.9</v>
      </c>
      <c r="Q1494" s="16" t="n">
        <v>45476</v>
      </c>
      <c r="R1494" s="16" t="n">
        <v>45480</v>
      </c>
      <c r="S1494" t="inlineStr">
        <is>
          <t>Eric</t>
        </is>
      </c>
      <c r="T1494" t="inlineStr">
        <is>
          <t>2024-07</t>
        </is>
      </c>
    </row>
    <row r="1495">
      <c r="A1495" s="16" t="n">
        <v>45559</v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B</t>
        </is>
      </c>
      <c r="G1495" t="inlineStr">
        <is>
          <t>Wholesale</t>
        </is>
      </c>
      <c r="H1495" t="n">
        <v>0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Cust 2516</t>
        </is>
      </c>
      <c r="P1495" t="n">
        <v>29.19</v>
      </c>
      <c r="Q1495" s="16" t="n">
        <v>45559</v>
      </c>
      <c r="R1495" s="16" t="n">
        <v>45567</v>
      </c>
      <c r="S1495" t="inlineStr">
        <is>
          <t>Wendy</t>
        </is>
      </c>
      <c r="T1495" t="inlineStr">
        <is>
          <t>2024-09</t>
        </is>
      </c>
    </row>
    <row r="1496">
      <c r="A1496" s="16" t="n">
        <v>45671</v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D</t>
        </is>
      </c>
      <c r="G1496" t="inlineStr">
        <is>
          <t>Wholesale</t>
        </is>
      </c>
      <c r="H1496" t="n">
        <v>0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Cust 6791</t>
        </is>
      </c>
      <c r="P1496" t="n">
        <v>49.13</v>
      </c>
      <c r="Q1496" s="16" t="n">
        <v>45671</v>
      </c>
      <c r="R1496" s="16" t="n">
        <v>45678</v>
      </c>
      <c r="S1496" t="inlineStr">
        <is>
          <t>Eric</t>
        </is>
      </c>
      <c r="T1496" t="inlineStr">
        <is>
          <t>2025-01</t>
        </is>
      </c>
    </row>
    <row r="1497">
      <c r="A1497" s="16" t="n">
        <v>45705</v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D</t>
        </is>
      </c>
      <c r="G1497" t="inlineStr">
        <is>
          <t>Retail</t>
        </is>
      </c>
      <c r="H1497" t="n">
        <v>0.05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Cust 5227</t>
        </is>
      </c>
      <c r="P1497" t="n">
        <v>35.63</v>
      </c>
      <c r="Q1497" s="16" t="n">
        <v>45705</v>
      </c>
      <c r="R1497" s="16" t="n">
        <v>45710</v>
      </c>
      <c r="S1497" t="inlineStr">
        <is>
          <t>Wendy</t>
        </is>
      </c>
      <c r="T1497" t="inlineStr">
        <is>
          <t>2025-02</t>
        </is>
      </c>
    </row>
    <row r="1498">
      <c r="A1498" s="16" t="n">
        <v>45302</v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C</t>
        </is>
      </c>
      <c r="G1498" t="inlineStr">
        <is>
          <t>Wholesale</t>
        </is>
      </c>
      <c r="H1498" t="n">
        <v>0.15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Cust 5559</t>
        </is>
      </c>
      <c r="P1498" t="n">
        <v>45.93</v>
      </c>
      <c r="Q1498" s="16" t="n">
        <v>45302</v>
      </c>
      <c r="R1498" s="16" t="n">
        <v>45308</v>
      </c>
      <c r="S1498" t="inlineStr">
        <is>
          <t>Sophie</t>
        </is>
      </c>
      <c r="T1498" t="inlineStr">
        <is>
          <t>2024-01</t>
        </is>
      </c>
    </row>
    <row r="1499">
      <c r="A1499" s="16" t="n">
        <v>45500</v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A</t>
        </is>
      </c>
      <c r="G1499" t="inlineStr">
        <is>
          <t>Wholesale</t>
        </is>
      </c>
      <c r="H1499" t="n">
        <v>0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Cust 8981</t>
        </is>
      </c>
      <c r="P1499" t="n">
        <v>35.56</v>
      </c>
      <c r="Q1499" s="16" t="n">
        <v>45500</v>
      </c>
      <c r="R1499" s="16" t="n">
        <v>45507</v>
      </c>
      <c r="S1499" t="inlineStr">
        <is>
          <t>Eric</t>
        </is>
      </c>
      <c r="T1499" t="inlineStr">
        <is>
          <t>2024-07</t>
        </is>
      </c>
    </row>
    <row r="1500">
      <c r="A1500" s="16" t="n">
        <v>45629</v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A</t>
        </is>
      </c>
      <c r="G1500" t="inlineStr">
        <is>
          <t>Retail</t>
        </is>
      </c>
      <c r="H1500" t="n">
        <v>0.05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Cust 1824</t>
        </is>
      </c>
      <c r="P1500" t="n">
        <v>24.53</v>
      </c>
      <c r="Q1500" s="16" t="n">
        <v>45629</v>
      </c>
      <c r="R1500" s="16" t="n">
        <v>45636</v>
      </c>
      <c r="S1500" t="inlineStr">
        <is>
          <t>Cameron</t>
        </is>
      </c>
      <c r="T1500" t="inlineStr">
        <is>
          <t>2024-12</t>
        </is>
      </c>
    </row>
    <row r="1501">
      <c r="A1501" s="16" t="n">
        <v>45786</v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D</t>
        </is>
      </c>
      <c r="G1501" t="inlineStr">
        <is>
          <t>Wholesale</t>
        </is>
      </c>
      <c r="H1501" t="n">
        <v>0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Cust 1935</t>
        </is>
      </c>
      <c r="P1501" t="n">
        <v>21.05</v>
      </c>
      <c r="Q1501" s="16" t="n">
        <v>45786</v>
      </c>
      <c r="R1501" s="16" t="n">
        <v>45790</v>
      </c>
      <c r="S1501" t="inlineStr">
        <is>
          <t>Wendy</t>
        </is>
      </c>
      <c r="T1501" t="inlineStr">
        <is>
          <t>2025-05</t>
        </is>
      </c>
    </row>
  </sheetData>
  <autoFilter ref="A1:T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1. Sales by Region - X=Region Y=SUM(TotalPrice)</t>
        </is>
      </c>
      <c r="D1" s="17" t="inlineStr">
        <is>
          <t>2. Product X=Product Y=Sales</t>
        </is>
      </c>
      <c r="G1" s="17" t="inlineStr">
        <is>
          <t>3. Customer X=Type Y=Qty</t>
        </is>
      </c>
      <c r="J1" s="17" t="inlineStr">
        <is>
          <t>4. Payment X=Payment Y=Sales</t>
        </is>
      </c>
    </row>
    <row r="2">
      <c r="A2" s="18" t="inlineStr">
        <is>
          <t>Region</t>
        </is>
      </c>
      <c r="B2" s="18" t="inlineStr">
        <is>
          <t>Total Sales</t>
        </is>
      </c>
      <c r="D2" s="18" t="inlineStr">
        <is>
          <t>Product</t>
        </is>
      </c>
      <c r="E2" s="18" t="inlineStr">
        <is>
          <t>Sales</t>
        </is>
      </c>
      <c r="G2" s="18" t="inlineStr">
        <is>
          <t>CustomerType</t>
        </is>
      </c>
      <c r="H2" s="18" t="inlineStr">
        <is>
          <t>Qty</t>
        </is>
      </c>
      <c r="J2" s="18" t="inlineStr">
        <is>
          <t>Payment</t>
        </is>
      </c>
      <c r="K2" s="18" t="inlineStr">
        <is>
          <t>Sales</t>
        </is>
      </c>
    </row>
    <row r="3">
      <c r="A3" t="inlineStr">
        <is>
          <t>Central</t>
        </is>
      </c>
      <c r="B3" s="19">
        <f>SUMIF(Data!$B$2:$B$1501,"Central",Data!$J$2:$J$1501)</f>
        <v/>
      </c>
      <c r="D3" t="inlineStr">
        <is>
          <t>Chair</t>
        </is>
      </c>
      <c r="E3">
        <f>SUMIF(Data!$C$2:$C$1501,"Chair",Data!$J$2:$J$1501)</f>
        <v/>
      </c>
      <c r="G3" t="inlineStr">
        <is>
          <t>Retail</t>
        </is>
      </c>
      <c r="H3">
        <f>SUMIF(Data!$G$2:$G$1501,"Retail",Data!$D$2:$D$1501)</f>
        <v/>
      </c>
      <c r="J3" t="inlineStr">
        <is>
          <t>Cash</t>
        </is>
      </c>
      <c r="K3">
        <f>SUMIF(Data!$K$2:$K$1501,"Cash",Data!$J$2:$J$1501)</f>
        <v/>
      </c>
    </row>
    <row r="4">
      <c r="A4" t="inlineStr">
        <is>
          <t>East</t>
        </is>
      </c>
      <c r="B4" s="19">
        <f>SUMIF(Data!$B$2:$B$1501,"East",Data!$J$2:$J$1501)</f>
        <v/>
      </c>
      <c r="D4" t="inlineStr">
        <is>
          <t>Desk</t>
        </is>
      </c>
      <c r="E4">
        <f>SUMIF(Data!$C$2:$C$1501,"Desk",Data!$J$2:$J$1501)</f>
        <v/>
      </c>
      <c r="G4" t="inlineStr">
        <is>
          <t>Wholesale</t>
        </is>
      </c>
      <c r="H4">
        <f>SUMIF(Data!$G$2:$G$1501,"Wholesale",Data!$D$2:$D$1501)</f>
        <v/>
      </c>
      <c r="J4" t="inlineStr">
        <is>
          <t>Credit Card</t>
        </is>
      </c>
      <c r="K4">
        <f>SUMIF(Data!$K$2:$K$1501,"Credit Card",Data!$J$2:$J$1501)</f>
        <v/>
      </c>
    </row>
    <row r="5">
      <c r="A5" t="inlineStr">
        <is>
          <t>North</t>
        </is>
      </c>
      <c r="B5" s="19">
        <f>SUMIF(Data!$B$2:$B$1501,"North",Data!$J$2:$J$1501)</f>
        <v/>
      </c>
      <c r="D5" t="inlineStr">
        <is>
          <t>Laptop</t>
        </is>
      </c>
      <c r="E5">
        <f>SUMIF(Data!$C$2:$C$1501,"Laptop",Data!$J$2:$J$1501)</f>
        <v/>
      </c>
      <c r="J5" t="inlineStr">
        <is>
          <t>Debit Card</t>
        </is>
      </c>
      <c r="K5">
        <f>SUMIF(Data!$K$2:$K$1501,"Debit Card",Data!$J$2:$J$1501)</f>
        <v/>
      </c>
    </row>
    <row r="6">
      <c r="A6" t="inlineStr">
        <is>
          <t>South</t>
        </is>
      </c>
      <c r="B6" s="19">
        <f>SUMIF(Data!$B$2:$B$1501,"South",Data!$J$2:$J$1501)</f>
        <v/>
      </c>
      <c r="D6" t="inlineStr">
        <is>
          <t>Monitor</t>
        </is>
      </c>
      <c r="E6">
        <f>SUMIF(Data!$C$2:$C$1501,"Monitor",Data!$J$2:$J$1501)</f>
        <v/>
      </c>
      <c r="J6" t="inlineStr">
        <is>
          <t>Gift Card</t>
        </is>
      </c>
      <c r="K6">
        <f>SUMIF(Data!$K$2:$K$1501,"Gift Card",Data!$J$2:$J$1501)</f>
        <v/>
      </c>
    </row>
    <row r="7">
      <c r="A7" t="inlineStr">
        <is>
          <t>West</t>
        </is>
      </c>
      <c r="B7" s="19">
        <f>SUMIF(Data!$B$2:$B$1501,"West",Data!$J$2:$J$1501)</f>
        <v/>
      </c>
      <c r="D7" t="inlineStr">
        <is>
          <t>Phone</t>
        </is>
      </c>
      <c r="E7">
        <f>SUMIF(Data!$C$2:$C$1501,"Phone",Data!$J$2:$J$1501)</f>
        <v/>
      </c>
      <c r="J7" t="inlineStr">
        <is>
          <t>Online</t>
        </is>
      </c>
      <c r="K7">
        <f>SUMIF(Data!$K$2:$K$1501,"Online",Data!$J$2:$J$1501)</f>
        <v/>
      </c>
    </row>
    <row r="8">
      <c r="D8" t="inlineStr">
        <is>
          <t>Printer</t>
        </is>
      </c>
      <c r="E8">
        <f>SUMIF(Data!$C$2:$C$1501,"Printer",Data!$J$2:$J$1501)</f>
        <v/>
      </c>
    </row>
    <row r="9">
      <c r="D9" t="inlineStr">
        <is>
          <t>Tablet</t>
        </is>
      </c>
      <c r="E9">
        <f>SUMIF(Data!$C$2:$C$1501,"Tablet",Data!$J$2:$J$1501)</f>
        <v/>
      </c>
    </row>
    <row r="12">
      <c r="A12" s="17" t="inlineStr">
        <is>
          <t>5. Store X=Store Y=Sales</t>
        </is>
      </c>
      <c r="D12" s="17" t="inlineStr">
        <is>
          <t>6. Salesperson X=Salesperson Y=Sales</t>
        </is>
      </c>
      <c r="G12" s="17" t="inlineStr">
        <is>
          <t>7. Monthly Sales X=YearMonth Y=Sales</t>
        </is>
      </c>
      <c r="L12" s="17" t="inlineStr">
        <is>
          <t>8. Promo X=Promo Y=Sales</t>
        </is>
      </c>
    </row>
    <row r="13">
      <c r="A13" s="18" t="inlineStr">
        <is>
          <t>Store</t>
        </is>
      </c>
      <c r="B13" s="18" t="inlineStr">
        <is>
          <t>Sales</t>
        </is>
      </c>
      <c r="D13" s="18" t="inlineStr">
        <is>
          <t>Salesperson</t>
        </is>
      </c>
      <c r="E13" s="18" t="inlineStr">
        <is>
          <t>Sales</t>
        </is>
      </c>
      <c r="G13" s="18" t="inlineStr">
        <is>
          <t>YearMonth</t>
        </is>
      </c>
      <c r="H13" s="18" t="inlineStr">
        <is>
          <t>Sales</t>
        </is>
      </c>
      <c r="I13" s="18" t="inlineStr">
        <is>
          <t>Qty</t>
        </is>
      </c>
      <c r="J13" s="18" t="inlineStr">
        <is>
          <t>Cumulative</t>
        </is>
      </c>
      <c r="L13" s="18" t="inlineStr">
        <is>
          <t>Promotion</t>
        </is>
      </c>
      <c r="M13" s="18" t="inlineStr">
        <is>
          <t>Sales</t>
        </is>
      </c>
      <c r="N13" s="18" t="inlineStr">
        <is>
          <t>Avg Discount</t>
        </is>
      </c>
    </row>
    <row r="14">
      <c r="A14" t="inlineStr">
        <is>
          <t>Store A</t>
        </is>
      </c>
      <c r="B14">
        <f>SUMIF(Data!$F$2:$F$1501,"Store A",Data!$J$2:$J$1501)</f>
        <v/>
      </c>
      <c r="D14" t="inlineStr">
        <is>
          <t>Alice</t>
        </is>
      </c>
      <c r="E14">
        <f>SUMIF(Data!$I$2:$I$1501,"Alice",Data!$J$2:$J$1501)</f>
        <v/>
      </c>
      <c r="G14" t="inlineStr">
        <is>
          <t>2023-01</t>
        </is>
      </c>
      <c r="H14">
        <f>SUMIF(Data!$T$2:$T$1501,"2023-01",Data!$J$2:$J$1501)</f>
        <v/>
      </c>
      <c r="I14">
        <f>SUMIF(Data!$T$2:$T$1501,"2023-01",Data!$D$2:$D$1501)</f>
        <v/>
      </c>
      <c r="J14">
        <f>SUM($H$14:H14)</f>
        <v/>
      </c>
      <c r="L14" t="inlineStr">
        <is>
          <t>FREESHIP</t>
        </is>
      </c>
      <c r="M14">
        <f>SUMIF(Data!$L$2:$L$1501,"FREESHIP",Data!$J$2:$J$1501)</f>
        <v/>
      </c>
      <c r="N14">
        <f>AVERAGEIF(Data!$L$2:$L$1501,"FREESHIP",Data!$H$2:$H$1501)</f>
        <v/>
      </c>
    </row>
    <row r="15">
      <c r="A15" t="inlineStr">
        <is>
          <t>Store B</t>
        </is>
      </c>
      <c r="B15">
        <f>SUMIF(Data!$F$2:$F$1501,"Store B",Data!$J$2:$J$1501)</f>
        <v/>
      </c>
      <c r="D15" t="inlineStr">
        <is>
          <t>Bob</t>
        </is>
      </c>
      <c r="E15">
        <f>SUMIF(Data!$I$2:$I$1501,"Bob",Data!$J$2:$J$1501)</f>
        <v/>
      </c>
      <c r="G15" t="inlineStr">
        <is>
          <t>2023-02</t>
        </is>
      </c>
      <c r="H15">
        <f>SUMIF(Data!$T$2:$T$1501,"2023-02",Data!$J$2:$J$1501)</f>
        <v/>
      </c>
      <c r="I15">
        <f>SUMIF(Data!$T$2:$T$1501,"2023-02",Data!$D$2:$D$1501)</f>
        <v/>
      </c>
      <c r="J15">
        <f>SUM($H$14:H15)</f>
        <v/>
      </c>
      <c r="L15" t="inlineStr">
        <is>
          <t>SAVE10</t>
        </is>
      </c>
      <c r="M15">
        <f>SUMIF(Data!$L$2:$L$1501,"SAVE10",Data!$J$2:$J$1501)</f>
        <v/>
      </c>
      <c r="N15">
        <f>AVERAGEIF(Data!$L$2:$L$1501,"SAVE10",Data!$H$2:$H$1501)</f>
        <v/>
      </c>
    </row>
    <row r="16">
      <c r="A16" t="inlineStr">
        <is>
          <t>Store C</t>
        </is>
      </c>
      <c r="B16">
        <f>SUMIF(Data!$F$2:$F$1501,"Store C",Data!$J$2:$J$1501)</f>
        <v/>
      </c>
      <c r="D16" t="inlineStr">
        <is>
          <t>Carlos</t>
        </is>
      </c>
      <c r="E16">
        <f>SUMIF(Data!$I$2:$I$1501,"Carlos",Data!$J$2:$J$1501)</f>
        <v/>
      </c>
      <c r="G16" t="inlineStr">
        <is>
          <t>2023-03</t>
        </is>
      </c>
      <c r="H16">
        <f>SUMIF(Data!$T$2:$T$1501,"2023-03",Data!$J$2:$J$1501)</f>
        <v/>
      </c>
      <c r="I16">
        <f>SUMIF(Data!$T$2:$T$1501,"2023-03",Data!$D$2:$D$1501)</f>
        <v/>
      </c>
      <c r="J16">
        <f>SUM($H$14:H16)</f>
        <v/>
      </c>
      <c r="L16" t="inlineStr">
        <is>
          <t>WINTER15</t>
        </is>
      </c>
      <c r="M16">
        <f>SUMIF(Data!$L$2:$L$1501,"WINTER15",Data!$J$2:$J$1501)</f>
        <v/>
      </c>
      <c r="N16">
        <f>AVERAGEIF(Data!$L$2:$L$1501,"WINTER15",Data!$H$2:$H$1501)</f>
        <v/>
      </c>
    </row>
    <row r="17">
      <c r="A17" t="inlineStr">
        <is>
          <t>Store D</t>
        </is>
      </c>
      <c r="B17">
        <f>SUMIF(Data!$F$2:$F$1501,"Store D",Data!$J$2:$J$1501)</f>
        <v/>
      </c>
      <c r="D17" t="inlineStr">
        <is>
          <t>Diana</t>
        </is>
      </c>
      <c r="E17">
        <f>SUMIF(Data!$I$2:$I$1501,"Diana",Data!$J$2:$J$1501)</f>
        <v/>
      </c>
      <c r="G17" t="inlineStr">
        <is>
          <t>2023-04</t>
        </is>
      </c>
      <c r="H17">
        <f>SUMIF(Data!$T$2:$T$1501,"2023-04",Data!$J$2:$J$1501)</f>
        <v/>
      </c>
      <c r="I17">
        <f>SUMIF(Data!$T$2:$T$1501,"2023-04",Data!$D$2:$D$1501)</f>
        <v/>
      </c>
      <c r="J17">
        <f>SUM($H$14:H17)</f>
        <v/>
      </c>
    </row>
    <row r="18">
      <c r="D18" t="inlineStr">
        <is>
          <t>Eva</t>
        </is>
      </c>
      <c r="E18">
        <f>SUMIF(Data!$I$2:$I$1501,"Eva",Data!$J$2:$J$1501)</f>
        <v/>
      </c>
      <c r="G18" t="inlineStr">
        <is>
          <t>2023-05</t>
        </is>
      </c>
      <c r="H18">
        <f>SUMIF(Data!$T$2:$T$1501,"2023-05",Data!$J$2:$J$1501)</f>
        <v/>
      </c>
      <c r="I18">
        <f>SUMIF(Data!$T$2:$T$1501,"2023-05",Data!$D$2:$D$1501)</f>
        <v/>
      </c>
      <c r="J18">
        <f>SUM($H$14:H18)</f>
        <v/>
      </c>
    </row>
    <row r="19">
      <c r="D19" t="inlineStr">
        <is>
          <t>Frank</t>
        </is>
      </c>
      <c r="E19">
        <f>SUMIF(Data!$I$2:$I$1501,"Frank",Data!$J$2:$J$1501)</f>
        <v/>
      </c>
      <c r="G19" t="inlineStr">
        <is>
          <t>2023-06</t>
        </is>
      </c>
      <c r="H19">
        <f>SUMIF(Data!$T$2:$T$1501,"2023-06",Data!$J$2:$J$1501)</f>
        <v/>
      </c>
      <c r="I19">
        <f>SUMIF(Data!$T$2:$T$1501,"2023-06",Data!$D$2:$D$1501)</f>
        <v/>
      </c>
      <c r="J19">
        <f>SUM($H$14:H19)</f>
        <v/>
      </c>
    </row>
    <row r="20">
      <c r="G20" t="inlineStr">
        <is>
          <t>2023-07</t>
        </is>
      </c>
      <c r="H20">
        <f>SUMIF(Data!$T$2:$T$1501,"2023-07",Data!$J$2:$J$1501)</f>
        <v/>
      </c>
      <c r="I20">
        <f>SUMIF(Data!$T$2:$T$1501,"2023-07",Data!$D$2:$D$1501)</f>
        <v/>
      </c>
      <c r="J20">
        <f>SUM($H$14:H20)</f>
        <v/>
      </c>
    </row>
    <row r="21">
      <c r="G21" t="inlineStr">
        <is>
          <t>2023-08</t>
        </is>
      </c>
      <c r="H21">
        <f>SUMIF(Data!$T$2:$T$1501,"2023-08",Data!$J$2:$J$1501)</f>
        <v/>
      </c>
      <c r="I21">
        <f>SUMIF(Data!$T$2:$T$1501,"2023-08",Data!$D$2:$D$1501)</f>
        <v/>
      </c>
      <c r="J21">
        <f>SUM($H$14:H21)</f>
        <v/>
      </c>
    </row>
    <row r="22">
      <c r="G22" t="inlineStr">
        <is>
          <t>2023-09</t>
        </is>
      </c>
      <c r="H22">
        <f>SUMIF(Data!$T$2:$T$1501,"2023-09",Data!$J$2:$J$1501)</f>
        <v/>
      </c>
      <c r="I22">
        <f>SUMIF(Data!$T$2:$T$1501,"2023-09",Data!$D$2:$D$1501)</f>
        <v/>
      </c>
      <c r="J22">
        <f>SUM($H$14:H22)</f>
        <v/>
      </c>
    </row>
    <row r="23">
      <c r="G23" t="inlineStr">
        <is>
          <t>2023-10</t>
        </is>
      </c>
      <c r="H23">
        <f>SUMIF(Data!$T$2:$T$1501,"2023-10",Data!$J$2:$J$1501)</f>
        <v/>
      </c>
      <c r="I23">
        <f>SUMIF(Data!$T$2:$T$1501,"2023-10",Data!$D$2:$D$1501)</f>
        <v/>
      </c>
      <c r="J23">
        <f>SUM($H$14:H23)</f>
        <v/>
      </c>
    </row>
    <row r="24">
      <c r="G24" t="inlineStr">
        <is>
          <t>2023-11</t>
        </is>
      </c>
      <c r="H24">
        <f>SUMIF(Data!$T$2:$T$1501,"2023-11",Data!$J$2:$J$1501)</f>
        <v/>
      </c>
      <c r="I24">
        <f>SUMIF(Data!$T$2:$T$1501,"2023-11",Data!$D$2:$D$1501)</f>
        <v/>
      </c>
      <c r="J24">
        <f>SUM($H$14:H24)</f>
        <v/>
      </c>
    </row>
    <row r="25">
      <c r="G25" t="inlineStr">
        <is>
          <t>2023-12</t>
        </is>
      </c>
      <c r="H25">
        <f>SUMIF(Data!$T$2:$T$1501,"2023-12",Data!$J$2:$J$1501)</f>
        <v/>
      </c>
      <c r="I25">
        <f>SUMIF(Data!$T$2:$T$1501,"2023-12",Data!$D$2:$D$1501)</f>
        <v/>
      </c>
      <c r="J25">
        <f>SUM($H$14:H25)</f>
        <v/>
      </c>
    </row>
    <row r="26">
      <c r="G26" t="inlineStr">
        <is>
          <t>2024-01</t>
        </is>
      </c>
      <c r="H26">
        <f>SUMIF(Data!$T$2:$T$1501,"2024-01",Data!$J$2:$J$1501)</f>
        <v/>
      </c>
      <c r="I26">
        <f>SUMIF(Data!$T$2:$T$1501,"2024-01",Data!$D$2:$D$1501)</f>
        <v/>
      </c>
      <c r="J26">
        <f>SUM($H$14:H26)</f>
        <v/>
      </c>
    </row>
    <row r="27">
      <c r="G27" t="inlineStr">
        <is>
          <t>2024-02</t>
        </is>
      </c>
      <c r="H27">
        <f>SUMIF(Data!$T$2:$T$1501,"2024-02",Data!$J$2:$J$1501)</f>
        <v/>
      </c>
      <c r="I27">
        <f>SUMIF(Data!$T$2:$T$1501,"2024-02",Data!$D$2:$D$1501)</f>
        <v/>
      </c>
      <c r="J27">
        <f>SUM($H$14:H27)</f>
        <v/>
      </c>
    </row>
    <row r="28">
      <c r="G28" t="inlineStr">
        <is>
          <t>2024-03</t>
        </is>
      </c>
      <c r="H28">
        <f>SUMIF(Data!$T$2:$T$1501,"2024-03",Data!$J$2:$J$1501)</f>
        <v/>
      </c>
      <c r="I28">
        <f>SUMIF(Data!$T$2:$T$1501,"2024-03",Data!$D$2:$D$1501)</f>
        <v/>
      </c>
      <c r="J28">
        <f>SUM($H$14:H28)</f>
        <v/>
      </c>
    </row>
    <row r="29">
      <c r="G29" t="inlineStr">
        <is>
          <t>2024-04</t>
        </is>
      </c>
      <c r="H29">
        <f>SUMIF(Data!$T$2:$T$1501,"2024-04",Data!$J$2:$J$1501)</f>
        <v/>
      </c>
      <c r="I29">
        <f>SUMIF(Data!$T$2:$T$1501,"2024-04",Data!$D$2:$D$1501)</f>
        <v/>
      </c>
      <c r="J29">
        <f>SUM($H$14:H29)</f>
        <v/>
      </c>
    </row>
    <row r="30">
      <c r="G30" t="inlineStr">
        <is>
          <t>2024-05</t>
        </is>
      </c>
      <c r="H30">
        <f>SUMIF(Data!$T$2:$T$1501,"2024-05",Data!$J$2:$J$1501)</f>
        <v/>
      </c>
      <c r="I30">
        <f>SUMIF(Data!$T$2:$T$1501,"2024-05",Data!$D$2:$D$1501)</f>
        <v/>
      </c>
      <c r="J30">
        <f>SUM($H$14:H30)</f>
        <v/>
      </c>
    </row>
    <row r="31">
      <c r="G31" t="inlineStr">
        <is>
          <t>2024-06</t>
        </is>
      </c>
      <c r="H31">
        <f>SUMIF(Data!$T$2:$T$1501,"2024-06",Data!$J$2:$J$1501)</f>
        <v/>
      </c>
      <c r="I31">
        <f>SUMIF(Data!$T$2:$T$1501,"2024-06",Data!$D$2:$D$1501)</f>
        <v/>
      </c>
      <c r="J31">
        <f>SUM($H$14:H31)</f>
        <v/>
      </c>
    </row>
    <row r="32">
      <c r="G32" t="inlineStr">
        <is>
          <t>2024-07</t>
        </is>
      </c>
      <c r="H32">
        <f>SUMIF(Data!$T$2:$T$1501,"2024-07",Data!$J$2:$J$1501)</f>
        <v/>
      </c>
      <c r="I32">
        <f>SUMIF(Data!$T$2:$T$1501,"2024-07",Data!$D$2:$D$1501)</f>
        <v/>
      </c>
      <c r="J32">
        <f>SUM($H$14:H32)</f>
        <v/>
      </c>
    </row>
    <row r="33">
      <c r="G33" t="inlineStr">
        <is>
          <t>2024-08</t>
        </is>
      </c>
      <c r="H33">
        <f>SUMIF(Data!$T$2:$T$1501,"2024-08",Data!$J$2:$J$1501)</f>
        <v/>
      </c>
      <c r="I33">
        <f>SUMIF(Data!$T$2:$T$1501,"2024-08",Data!$D$2:$D$1501)</f>
        <v/>
      </c>
      <c r="J33">
        <f>SUM($H$14:H33)</f>
        <v/>
      </c>
    </row>
    <row r="34">
      <c r="G34" t="inlineStr">
        <is>
          <t>2024-09</t>
        </is>
      </c>
      <c r="H34">
        <f>SUMIF(Data!$T$2:$T$1501,"2024-09",Data!$J$2:$J$1501)</f>
        <v/>
      </c>
      <c r="I34">
        <f>SUMIF(Data!$T$2:$T$1501,"2024-09",Data!$D$2:$D$1501)</f>
        <v/>
      </c>
      <c r="J34">
        <f>SUM($H$14:H34)</f>
        <v/>
      </c>
    </row>
    <row r="35">
      <c r="G35" t="inlineStr">
        <is>
          <t>2024-10</t>
        </is>
      </c>
      <c r="H35">
        <f>SUMIF(Data!$T$2:$T$1501,"2024-10",Data!$J$2:$J$1501)</f>
        <v/>
      </c>
      <c r="I35">
        <f>SUMIF(Data!$T$2:$T$1501,"2024-10",Data!$D$2:$D$1501)</f>
        <v/>
      </c>
      <c r="J35">
        <f>SUM($H$14:H35)</f>
        <v/>
      </c>
    </row>
    <row r="36">
      <c r="G36" t="inlineStr">
        <is>
          <t>2024-11</t>
        </is>
      </c>
      <c r="H36">
        <f>SUMIF(Data!$T$2:$T$1501,"2024-11",Data!$J$2:$J$1501)</f>
        <v/>
      </c>
      <c r="I36">
        <f>SUMIF(Data!$T$2:$T$1501,"2024-11",Data!$D$2:$D$1501)</f>
        <v/>
      </c>
      <c r="J36">
        <f>SUM($H$14:H36)</f>
        <v/>
      </c>
    </row>
    <row r="37">
      <c r="G37" t="inlineStr">
        <is>
          <t>2024-12</t>
        </is>
      </c>
      <c r="H37">
        <f>SUMIF(Data!$T$2:$T$1501,"2024-12",Data!$J$2:$J$1501)</f>
        <v/>
      </c>
      <c r="I37">
        <f>SUMIF(Data!$T$2:$T$1501,"2024-12",Data!$D$2:$D$1501)</f>
        <v/>
      </c>
      <c r="J37">
        <f>SUM($H$14:H37)</f>
        <v/>
      </c>
    </row>
    <row r="38">
      <c r="G38" t="inlineStr">
        <is>
          <t>2025-01</t>
        </is>
      </c>
      <c r="H38">
        <f>SUMIF(Data!$T$2:$T$1501,"2025-01",Data!$J$2:$J$1501)</f>
        <v/>
      </c>
      <c r="I38">
        <f>SUMIF(Data!$T$2:$T$1501,"2025-01",Data!$D$2:$D$1501)</f>
        <v/>
      </c>
      <c r="J38">
        <f>SUM($H$14:H38)</f>
        <v/>
      </c>
    </row>
    <row r="39">
      <c r="G39" t="inlineStr">
        <is>
          <t>2025-02</t>
        </is>
      </c>
      <c r="H39">
        <f>SUMIF(Data!$T$2:$T$1501,"2025-02",Data!$J$2:$J$1501)</f>
        <v/>
      </c>
      <c r="I39">
        <f>SUMIF(Data!$T$2:$T$1501,"2025-02",Data!$D$2:$D$1501)</f>
        <v/>
      </c>
      <c r="J39">
        <f>SUM($H$14:H39)</f>
        <v/>
      </c>
    </row>
    <row r="40">
      <c r="G40" s="18" t="inlineStr">
        <is>
          <t>Scatter Sample X=UnitPrice Y=Qty</t>
        </is>
      </c>
      <c r="H40">
        <f>SUMIF(Data!$T$2:$T$1501,"2025-03",Data!$J$2:$J$1501)</f>
        <v/>
      </c>
      <c r="I40">
        <f>SUMIF(Data!$T$2:$T$1501,"2025-03",Data!$D$2:$D$1501)</f>
        <v/>
      </c>
      <c r="J40">
        <f>SUM($H$14:H40)</f>
        <v/>
      </c>
    </row>
    <row r="41">
      <c r="G41" t="inlineStr">
        <is>
          <t>UnitPrice</t>
        </is>
      </c>
      <c r="H41" t="inlineStr">
        <is>
          <t>Quantity</t>
        </is>
      </c>
      <c r="I41">
        <f>SUMIF(Data!$T$2:$T$1501,"2025-04",Data!$D$2:$D$1501)</f>
        <v/>
      </c>
      <c r="J41">
        <f>SUM($H$14:H41)</f>
        <v/>
      </c>
    </row>
    <row r="42">
      <c r="G42" t="n">
        <v>423.64</v>
      </c>
      <c r="H42" t="n">
        <v>13</v>
      </c>
      <c r="I42">
        <f>SUMIF(Data!$T$2:$T$1501,"2025-05",Data!$D$2:$D$1501)</f>
        <v/>
      </c>
      <c r="J42">
        <f>SUM($H$14:H42)</f>
        <v/>
      </c>
    </row>
    <row r="43">
      <c r="G43" t="n">
        <v>304.15</v>
      </c>
      <c r="H43" t="n">
        <v>8</v>
      </c>
      <c r="I43">
        <f>SUMIF(Data!$T$2:$T$1501,"2025-06",Data!$D$2:$D$1501)</f>
        <v/>
      </c>
      <c r="J43">
        <f>SUM($H$14:H43)</f>
        <v/>
      </c>
    </row>
    <row r="44">
      <c r="G44" t="n">
        <v>448.13</v>
      </c>
      <c r="H44" t="n">
        <v>19</v>
      </c>
    </row>
    <row r="45">
      <c r="G45" t="n">
        <v>478.73</v>
      </c>
      <c r="H45" t="n">
        <v>19</v>
      </c>
    </row>
    <row r="46">
      <c r="G46" t="n">
        <v>599.72</v>
      </c>
      <c r="H46" t="n">
        <v>3</v>
      </c>
    </row>
    <row r="47">
      <c r="G47" t="n">
        <v>367.61</v>
      </c>
      <c r="H47" t="n">
        <v>5</v>
      </c>
    </row>
    <row r="48">
      <c r="G48" t="n">
        <v>300.38</v>
      </c>
      <c r="H48" t="n">
        <v>14</v>
      </c>
    </row>
    <row r="49">
      <c r="G49" t="n">
        <v>549.78</v>
      </c>
      <c r="H49" t="n">
        <v>17</v>
      </c>
    </row>
    <row r="50">
      <c r="G50" t="n">
        <v>574.3200000000001</v>
      </c>
      <c r="H50" t="n">
        <v>14</v>
      </c>
    </row>
    <row r="51">
      <c r="G51" t="n">
        <v>50.26</v>
      </c>
      <c r="H51" t="n">
        <v>7</v>
      </c>
    </row>
    <row r="52">
      <c r="G52" t="n">
        <v>152.75</v>
      </c>
      <c r="H52" t="n">
        <v>1</v>
      </c>
    </row>
    <row r="53">
      <c r="G53" t="n">
        <v>346.86</v>
      </c>
      <c r="H53" t="n">
        <v>6</v>
      </c>
    </row>
    <row r="54">
      <c r="G54" t="n">
        <v>507.74</v>
      </c>
      <c r="H54" t="n">
        <v>9</v>
      </c>
    </row>
    <row r="55">
      <c r="G55" t="n">
        <v>78.05</v>
      </c>
      <c r="H55" t="n">
        <v>4</v>
      </c>
    </row>
    <row r="56">
      <c r="G56" t="n">
        <v>328.36</v>
      </c>
      <c r="H56" t="n">
        <v>15</v>
      </c>
    </row>
    <row r="57">
      <c r="G57" t="n">
        <v>92.72</v>
      </c>
      <c r="H57" t="n">
        <v>1</v>
      </c>
    </row>
    <row r="58">
      <c r="G58" t="n">
        <v>183.62</v>
      </c>
      <c r="H58" t="n">
        <v>16</v>
      </c>
    </row>
    <row r="59">
      <c r="G59" t="n">
        <v>418.45</v>
      </c>
      <c r="H59" t="n">
        <v>1</v>
      </c>
    </row>
    <row r="60">
      <c r="G60" t="n">
        <v>319.59</v>
      </c>
      <c r="H60" t="n">
        <v>7</v>
      </c>
    </row>
    <row r="61">
      <c r="G61" t="n">
        <v>251.69</v>
      </c>
      <c r="H61" t="n">
        <v>2</v>
      </c>
    </row>
    <row r="62">
      <c r="G62" t="n">
        <v>272.26</v>
      </c>
      <c r="H62" t="n">
        <v>6</v>
      </c>
    </row>
    <row r="63">
      <c r="G63" t="n">
        <v>459.61</v>
      </c>
      <c r="H63" t="n">
        <v>14</v>
      </c>
    </row>
    <row r="64">
      <c r="G64" t="n">
        <v>256.63</v>
      </c>
      <c r="H64" t="n">
        <v>1</v>
      </c>
    </row>
    <row r="65">
      <c r="G65" t="n">
        <v>526.26</v>
      </c>
      <c r="H65" t="n">
        <v>9</v>
      </c>
    </row>
    <row r="66">
      <c r="G66" t="n">
        <v>419.1</v>
      </c>
      <c r="H66" t="n">
        <v>1</v>
      </c>
    </row>
    <row r="67">
      <c r="G67" t="n">
        <v>175.3</v>
      </c>
      <c r="H67" t="n">
        <v>6</v>
      </c>
    </row>
    <row r="68">
      <c r="G68" t="n">
        <v>82.09</v>
      </c>
      <c r="H68" t="n">
        <v>3</v>
      </c>
    </row>
    <row r="69">
      <c r="G69" t="n">
        <v>438.58</v>
      </c>
      <c r="H69" t="n">
        <v>4</v>
      </c>
    </row>
    <row r="70">
      <c r="G70" t="n">
        <v>506.17</v>
      </c>
      <c r="H70" t="n">
        <v>15</v>
      </c>
    </row>
    <row r="71">
      <c r="G71" t="n">
        <v>261.85</v>
      </c>
      <c r="H71" t="n">
        <v>15</v>
      </c>
    </row>
    <row r="72">
      <c r="G72" t="n">
        <v>141.61</v>
      </c>
      <c r="H72" t="n">
        <v>8</v>
      </c>
    </row>
    <row r="73">
      <c r="G73" t="n">
        <v>297.2</v>
      </c>
      <c r="H73" t="n">
        <v>2</v>
      </c>
    </row>
    <row r="74">
      <c r="G74" t="n">
        <v>28.34</v>
      </c>
      <c r="H74" t="n">
        <v>8</v>
      </c>
    </row>
    <row r="75">
      <c r="G75" t="n">
        <v>332.48</v>
      </c>
      <c r="H75" t="n">
        <v>20</v>
      </c>
    </row>
    <row r="76">
      <c r="G76" t="n">
        <v>266.13</v>
      </c>
      <c r="H76" t="n">
        <v>10</v>
      </c>
    </row>
    <row r="77">
      <c r="G77" t="n">
        <v>586.52</v>
      </c>
      <c r="H77" t="n">
        <v>16</v>
      </c>
    </row>
    <row r="78">
      <c r="G78" t="n">
        <v>7.81</v>
      </c>
      <c r="H78" t="n">
        <v>8</v>
      </c>
    </row>
    <row r="79">
      <c r="G79" t="n">
        <v>181.08</v>
      </c>
      <c r="H79" t="n">
        <v>16</v>
      </c>
    </row>
    <row r="80">
      <c r="G80" t="n">
        <v>143.85</v>
      </c>
      <c r="H80" t="n">
        <v>11</v>
      </c>
    </row>
    <row r="81">
      <c r="G81" t="n">
        <v>445.52</v>
      </c>
      <c r="H81" t="n">
        <v>14</v>
      </c>
    </row>
    <row r="82">
      <c r="G82" t="n">
        <v>260.76</v>
      </c>
      <c r="H82" t="n">
        <v>12</v>
      </c>
    </row>
    <row r="83">
      <c r="G83" t="n">
        <v>385.72</v>
      </c>
      <c r="H83" t="n">
        <v>19</v>
      </c>
    </row>
    <row r="84">
      <c r="G84" t="n">
        <v>98.06</v>
      </c>
      <c r="H84" t="n">
        <v>14</v>
      </c>
    </row>
    <row r="85">
      <c r="G85" t="n">
        <v>391.63</v>
      </c>
      <c r="H85" t="n">
        <v>3</v>
      </c>
    </row>
    <row r="86">
      <c r="G86" t="n">
        <v>256.23</v>
      </c>
      <c r="H86" t="n">
        <v>18</v>
      </c>
    </row>
    <row r="87">
      <c r="G87" t="n">
        <v>583.88</v>
      </c>
      <c r="H87" t="n">
        <v>17</v>
      </c>
    </row>
    <row r="88">
      <c r="G88" t="n">
        <v>127.67</v>
      </c>
      <c r="H88" t="n">
        <v>15</v>
      </c>
    </row>
    <row r="89">
      <c r="G89" t="n">
        <v>466.54</v>
      </c>
      <c r="H89" t="n">
        <v>13</v>
      </c>
    </row>
    <row r="90">
      <c r="G90" t="n">
        <v>61.85</v>
      </c>
      <c r="H90" t="n">
        <v>12</v>
      </c>
    </row>
    <row r="91">
      <c r="G91" t="n">
        <v>494.22</v>
      </c>
      <c r="H91" t="n">
        <v>2</v>
      </c>
    </row>
    <row r="92">
      <c r="G92" t="n">
        <v>119.86</v>
      </c>
      <c r="H92" t="n">
        <v>15</v>
      </c>
    </row>
    <row r="93">
      <c r="G93" t="n">
        <v>372.44</v>
      </c>
      <c r="H93" t="n">
        <v>9</v>
      </c>
    </row>
    <row r="94">
      <c r="G94" t="n">
        <v>486.71</v>
      </c>
      <c r="H94" t="n">
        <v>16</v>
      </c>
    </row>
    <row r="95">
      <c r="G95" t="n">
        <v>219.7</v>
      </c>
      <c r="H95" t="n">
        <v>19</v>
      </c>
    </row>
    <row r="96">
      <c r="G96" t="n">
        <v>15.65</v>
      </c>
      <c r="H96" t="n">
        <v>7</v>
      </c>
    </row>
    <row r="97">
      <c r="G97" t="n">
        <v>51.85</v>
      </c>
      <c r="H97" t="n">
        <v>20</v>
      </c>
    </row>
    <row r="98">
      <c r="G98" t="n">
        <v>242.82</v>
      </c>
      <c r="H98" t="n">
        <v>14</v>
      </c>
    </row>
    <row r="99">
      <c r="G99" t="n">
        <v>148.23</v>
      </c>
      <c r="H99" t="n">
        <v>6</v>
      </c>
    </row>
    <row r="100">
      <c r="G100" t="n">
        <v>393.39</v>
      </c>
      <c r="H100" t="n">
        <v>7</v>
      </c>
    </row>
    <row r="101">
      <c r="G101" t="n">
        <v>324.55</v>
      </c>
      <c r="H101" t="n">
        <v>20</v>
      </c>
    </row>
    <row r="102">
      <c r="G102" t="n">
        <v>130.87</v>
      </c>
      <c r="H102" t="n">
        <v>1</v>
      </c>
    </row>
    <row r="103">
      <c r="G103" t="n">
        <v>503.18</v>
      </c>
      <c r="H103" t="n">
        <v>9</v>
      </c>
    </row>
    <row r="104">
      <c r="G104" t="n">
        <v>526.55</v>
      </c>
      <c r="H104" t="n">
        <v>20</v>
      </c>
    </row>
    <row r="105">
      <c r="G105" t="n">
        <v>405.96</v>
      </c>
      <c r="H105" t="n">
        <v>8</v>
      </c>
    </row>
    <row r="106">
      <c r="G106" t="n">
        <v>121.54</v>
      </c>
      <c r="H106" t="n">
        <v>11</v>
      </c>
    </row>
    <row r="107">
      <c r="G107" t="n">
        <v>207.45</v>
      </c>
      <c r="H107" t="n">
        <v>19</v>
      </c>
    </row>
    <row r="108">
      <c r="G108" t="n">
        <v>593</v>
      </c>
      <c r="H108" t="n">
        <v>16</v>
      </c>
    </row>
    <row r="109">
      <c r="G109" t="n">
        <v>411.24</v>
      </c>
      <c r="H109" t="n">
        <v>5</v>
      </c>
    </row>
    <row r="110">
      <c r="G110" t="n">
        <v>100.75</v>
      </c>
      <c r="H110" t="n">
        <v>6</v>
      </c>
    </row>
    <row r="111">
      <c r="G111" t="n">
        <v>421.93</v>
      </c>
      <c r="H111" t="n">
        <v>18</v>
      </c>
    </row>
    <row r="112">
      <c r="G112" t="n">
        <v>89.76000000000001</v>
      </c>
      <c r="H112" t="n">
        <v>16</v>
      </c>
    </row>
    <row r="113">
      <c r="G113" t="n">
        <v>472.51</v>
      </c>
      <c r="H113" t="n">
        <v>14</v>
      </c>
    </row>
    <row r="114">
      <c r="G114" t="n">
        <v>248.11</v>
      </c>
      <c r="H114" t="n">
        <v>20</v>
      </c>
    </row>
    <row r="115">
      <c r="G115" t="n">
        <v>212.83</v>
      </c>
      <c r="H115" t="n">
        <v>19</v>
      </c>
    </row>
    <row r="116">
      <c r="G116" t="n">
        <v>239.69</v>
      </c>
      <c r="H116" t="n">
        <v>2</v>
      </c>
    </row>
    <row r="117">
      <c r="G117" t="n">
        <v>464.11</v>
      </c>
      <c r="H117" t="n">
        <v>3</v>
      </c>
    </row>
    <row r="118">
      <c r="G118" t="n">
        <v>493.09</v>
      </c>
      <c r="H118" t="n">
        <v>8</v>
      </c>
    </row>
    <row r="119">
      <c r="G119" t="n">
        <v>427.3</v>
      </c>
      <c r="H119" t="n">
        <v>20</v>
      </c>
    </row>
    <row r="120">
      <c r="G120" t="n">
        <v>599.42</v>
      </c>
      <c r="H120" t="n">
        <v>3</v>
      </c>
    </row>
    <row r="121">
      <c r="G121" t="n">
        <v>241.81</v>
      </c>
      <c r="H121" t="n">
        <v>7</v>
      </c>
    </row>
    <row r="122">
      <c r="G122" t="n">
        <v>39.53</v>
      </c>
      <c r="H122" t="n">
        <v>7</v>
      </c>
    </row>
    <row r="123">
      <c r="G123" t="n">
        <v>472.07</v>
      </c>
      <c r="H123" t="n">
        <v>1</v>
      </c>
    </row>
    <row r="124">
      <c r="G124" t="n">
        <v>40.73</v>
      </c>
      <c r="H124" t="n">
        <v>16</v>
      </c>
    </row>
    <row r="125">
      <c r="G125" t="n">
        <v>157.93</v>
      </c>
      <c r="H125" t="n">
        <v>8</v>
      </c>
    </row>
    <row r="126">
      <c r="G126" t="n">
        <v>538.52</v>
      </c>
      <c r="H126" t="n">
        <v>5</v>
      </c>
    </row>
    <row r="127">
      <c r="G127" t="n">
        <v>66.58</v>
      </c>
      <c r="H127" t="n">
        <v>3</v>
      </c>
    </row>
    <row r="128">
      <c r="G128" t="n">
        <v>207.35</v>
      </c>
      <c r="H128" t="n">
        <v>18</v>
      </c>
    </row>
    <row r="129">
      <c r="G129" t="n">
        <v>197.17</v>
      </c>
      <c r="H129" t="n">
        <v>3</v>
      </c>
    </row>
    <row r="130">
      <c r="G130" t="n">
        <v>355.66</v>
      </c>
      <c r="H130" t="n">
        <v>7</v>
      </c>
    </row>
    <row r="131">
      <c r="G131" t="n">
        <v>59.78</v>
      </c>
      <c r="H131" t="n">
        <v>3</v>
      </c>
    </row>
    <row r="132">
      <c r="G132" t="n">
        <v>140.5</v>
      </c>
      <c r="H132" t="n">
        <v>10</v>
      </c>
    </row>
    <row r="133">
      <c r="G133" t="n">
        <v>595.11</v>
      </c>
      <c r="H133" t="n">
        <v>6</v>
      </c>
    </row>
    <row r="134">
      <c r="G134" t="n">
        <v>294.76</v>
      </c>
      <c r="H134" t="n">
        <v>8</v>
      </c>
    </row>
    <row r="135">
      <c r="G135" t="n">
        <v>414.58</v>
      </c>
      <c r="H135" t="n">
        <v>5</v>
      </c>
    </row>
    <row r="136">
      <c r="G136" t="n">
        <v>256.14</v>
      </c>
      <c r="H136" t="n">
        <v>9</v>
      </c>
    </row>
    <row r="137">
      <c r="G137" t="n">
        <v>352.91</v>
      </c>
      <c r="H137" t="n">
        <v>9</v>
      </c>
    </row>
    <row r="138">
      <c r="G138" t="n">
        <v>163.37</v>
      </c>
      <c r="H138" t="n">
        <v>17</v>
      </c>
    </row>
    <row r="139">
      <c r="G139" t="n">
        <v>109</v>
      </c>
      <c r="H139" t="n">
        <v>1</v>
      </c>
    </row>
    <row r="140">
      <c r="G140" t="n">
        <v>504.63</v>
      </c>
      <c r="H140" t="n">
        <v>17</v>
      </c>
    </row>
    <row r="141">
      <c r="G141" t="n">
        <v>484.38</v>
      </c>
      <c r="H14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AUDITED 5.2 - ZERO REF - PLAIN RANGE FORMULAS</t>
        </is>
      </c>
    </row>
    <row r="3">
      <c r="A3" t="inlineStr">
        <is>
          <t>Previous used SalesData[Region] structured refs - some Excel versions show #REF if table not recalculated</t>
        </is>
      </c>
    </row>
    <row r="4">
      <c r="A4" t="inlineStr">
        <is>
          <t>Now all formulas use plain ranges: =SUMIF(Data!B2:B1501,"East",Data!J2:J1501) - never #REF</t>
        </is>
      </c>
    </row>
    <row r="5">
      <c r="A5" t="inlineStr">
        <is>
          <t>YearMonth helper column T in Data sheet = date formatted yyyy-mm, used for monthly charts</t>
        </is>
      </c>
    </row>
    <row r="6">
      <c r="A6" t="inlineStr">
        <is>
          <t>KPI cards: =SUM(Data!J2:J1501) etc - connected, if Data changes, dashboard updates</t>
        </is>
      </c>
    </row>
    <row r="7">
      <c r="A7" t="inlineStr">
        <is>
          <t>Charts point to Analytics which has plain SUMIF formulas - all connected</t>
        </is>
      </c>
    </row>
    <row r="8">
      <c r="A8" t="inlineStr">
        <is>
          <t>Full Screen: Press Alt+W then L (View&gt;Full Screen) or add VBA: Sub ToggleFullScreen() Application.DisplayFullScreen = Not Application.DisplayFullScreen: End Sub</t>
        </is>
      </c>
    </row>
    <row r="9">
      <c r="A9" t="inlineStr">
        <is>
          <t>Neat arrangement: 3 charts per row, 13 width, colorful, header full width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2026-10-25T17:21:32Z</dcterms:created>
  <dcterms:modified xmlns:dcterms="http://purl.org/dc/terms/" xmlns:xsi="http://www.w3.org/2001/XMLSchema-instance" xsi:type="dcterms:W3CDTF">2026-10-25T17:21:32Z</dcterms:modified>
</cp:coreProperties>
</file>